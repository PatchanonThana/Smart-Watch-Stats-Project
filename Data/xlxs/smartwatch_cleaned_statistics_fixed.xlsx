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mart-Watch-Stats-Project\Data\xlxs\"/>
    </mc:Choice>
  </mc:AlternateContent>
  <xr:revisionPtr revIDLastSave="0" documentId="13_ncr:1_{C2006AF5-59D5-4E3E-A4CA-B5C16CCD9F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istics" sheetId="1" r:id="rId1"/>
    <sheet name="All_Data" sheetId="2" r:id="rId2"/>
    <sheet name="Apple" sheetId="3" r:id="rId3"/>
    <sheet name="Samsung" sheetId="4" r:id="rId4"/>
    <sheet name="Huawei" sheetId="5" r:id="rId5"/>
    <sheet name="Apple_S9" sheetId="6" r:id="rId6"/>
    <sheet name="Galaxy_Watch7" sheetId="7" r:id="rId7"/>
    <sheet name="Huawei_GT4" sheetId="8" r:id="rId8"/>
    <sheet name="Apple_S10" sheetId="9" r:id="rId9"/>
    <sheet name="Galaxy_Watch8" sheetId="10" r:id="rId10"/>
    <sheet name="Huawei_GT5" sheetId="11" r:id="rId11"/>
    <sheet name="Apple_Ultra2" sheetId="12" r:id="rId12"/>
    <sheet name="Galaxy_Ultra" sheetId="13" r:id="rId13"/>
    <sheet name="Huawei_Ultimate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20" i="1"/>
  <c r="J12" i="1"/>
  <c r="J6" i="1"/>
  <c r="J5" i="1"/>
  <c r="P35" i="1"/>
  <c r="G35" i="1"/>
  <c r="P34" i="1"/>
  <c r="G34" i="1"/>
  <c r="P33" i="1"/>
  <c r="G33" i="1"/>
  <c r="P32" i="1"/>
  <c r="G32" i="1"/>
  <c r="P31" i="1"/>
  <c r="G31" i="1"/>
  <c r="P30" i="1"/>
  <c r="G30" i="1"/>
  <c r="P29" i="1"/>
  <c r="G29" i="1"/>
  <c r="P28" i="1"/>
  <c r="G28" i="1"/>
  <c r="P27" i="1"/>
  <c r="G27" i="1"/>
  <c r="P26" i="1"/>
  <c r="G26" i="1"/>
  <c r="P25" i="1"/>
  <c r="G25" i="1"/>
  <c r="P24" i="1"/>
  <c r="G24" i="1"/>
  <c r="P23" i="1"/>
  <c r="G23" i="1"/>
  <c r="P22" i="1"/>
  <c r="G22" i="1"/>
  <c r="P21" i="1"/>
  <c r="G21" i="1"/>
  <c r="P20" i="1"/>
  <c r="G20" i="1"/>
  <c r="P19" i="1"/>
  <c r="G19" i="1"/>
  <c r="P18" i="1"/>
  <c r="G18" i="1"/>
  <c r="P17" i="1"/>
  <c r="G17" i="1"/>
  <c r="P16" i="1"/>
  <c r="G16" i="1"/>
  <c r="P15" i="1"/>
  <c r="G15" i="1"/>
  <c r="P14" i="1"/>
  <c r="G14" i="1"/>
  <c r="P13" i="1"/>
  <c r="G13" i="1"/>
  <c r="P12" i="1"/>
  <c r="G12" i="1"/>
  <c r="P11" i="1"/>
  <c r="G11" i="1"/>
  <c r="P10" i="1"/>
  <c r="G10" i="1"/>
  <c r="P9" i="1"/>
  <c r="G9" i="1"/>
  <c r="P8" i="1"/>
  <c r="G8" i="1"/>
  <c r="P7" i="1"/>
  <c r="G7" i="1"/>
  <c r="P6" i="1"/>
  <c r="G6" i="1"/>
  <c r="P5" i="1"/>
  <c r="G5" i="1"/>
  <c r="H32" i="1" l="1"/>
  <c r="N32" i="1"/>
  <c r="M32" i="1"/>
  <c r="J32" i="1"/>
  <c r="K32" i="1" s="1"/>
  <c r="O32" i="1"/>
  <c r="L32" i="1"/>
  <c r="I32" i="1"/>
  <c r="N26" i="1"/>
  <c r="O26" i="1"/>
  <c r="X12" i="1"/>
  <c r="W12" i="1"/>
  <c r="V12" i="1"/>
  <c r="W8" i="1"/>
  <c r="X8" i="1"/>
  <c r="X35" i="1"/>
  <c r="W35" i="1"/>
  <c r="V35" i="1"/>
  <c r="R35" i="1"/>
  <c r="S35" i="1"/>
  <c r="Q35" i="1"/>
  <c r="T35" i="1" s="1"/>
  <c r="U35" i="1"/>
  <c r="H35" i="1"/>
  <c r="I35" i="1"/>
  <c r="J35" i="1"/>
  <c r="K35" i="1" s="1"/>
  <c r="L35" i="1"/>
  <c r="M35" i="1"/>
  <c r="N35" i="1"/>
  <c r="O35" i="1"/>
  <c r="X34" i="1"/>
  <c r="Q34" i="1"/>
  <c r="T34" i="1" s="1"/>
  <c r="V34" i="1"/>
  <c r="R34" i="1"/>
  <c r="S34" i="1"/>
  <c r="U34" i="1"/>
  <c r="W34" i="1"/>
  <c r="O34" i="1"/>
  <c r="N34" i="1"/>
  <c r="M34" i="1"/>
  <c r="L34" i="1"/>
  <c r="J34" i="1"/>
  <c r="I34" i="1"/>
  <c r="H34" i="1"/>
  <c r="K34" i="1" s="1"/>
  <c r="U33" i="1"/>
  <c r="W33" i="1"/>
  <c r="V33" i="1"/>
  <c r="Q33" i="1"/>
  <c r="R33" i="1"/>
  <c r="S33" i="1"/>
  <c r="X33" i="1"/>
  <c r="O33" i="1"/>
  <c r="M33" i="1"/>
  <c r="I33" i="1"/>
  <c r="L33" i="1"/>
  <c r="J33" i="1"/>
  <c r="H33" i="1"/>
  <c r="K33" i="1" s="1"/>
  <c r="N33" i="1"/>
  <c r="Q32" i="1"/>
  <c r="V32" i="1"/>
  <c r="U32" i="1"/>
  <c r="R32" i="1"/>
  <c r="X32" i="1"/>
  <c r="S32" i="1"/>
  <c r="T32" i="1" s="1"/>
  <c r="W32" i="1"/>
  <c r="X29" i="1"/>
  <c r="W29" i="1"/>
  <c r="V29" i="1"/>
  <c r="U29" i="1"/>
  <c r="R29" i="1"/>
  <c r="S29" i="1"/>
  <c r="Q29" i="1"/>
  <c r="T29" i="1" s="1"/>
  <c r="N29" i="1"/>
  <c r="H29" i="1"/>
  <c r="I29" i="1"/>
  <c r="J29" i="1"/>
  <c r="K29" i="1" s="1"/>
  <c r="L29" i="1"/>
  <c r="M29" i="1"/>
  <c r="O29" i="1"/>
  <c r="W28" i="1"/>
  <c r="V28" i="1"/>
  <c r="U28" i="1"/>
  <c r="S28" i="1"/>
  <c r="R28" i="1"/>
  <c r="Q28" i="1"/>
  <c r="T28" i="1" s="1"/>
  <c r="X28" i="1"/>
  <c r="N28" i="1"/>
  <c r="M28" i="1"/>
  <c r="L28" i="1"/>
  <c r="J28" i="1"/>
  <c r="I28" i="1"/>
  <c r="H28" i="1"/>
  <c r="K28" i="1" s="1"/>
  <c r="O28" i="1"/>
  <c r="X27" i="1"/>
  <c r="W27" i="1"/>
  <c r="V27" i="1"/>
  <c r="U27" i="1"/>
  <c r="S27" i="1"/>
  <c r="R27" i="1"/>
  <c r="Q27" i="1"/>
  <c r="T27" i="1" s="1"/>
  <c r="O27" i="1"/>
  <c r="N27" i="1"/>
  <c r="M27" i="1"/>
  <c r="L27" i="1"/>
  <c r="J27" i="1"/>
  <c r="I27" i="1"/>
  <c r="H27" i="1"/>
  <c r="K27" i="1" s="1"/>
  <c r="Q26" i="1"/>
  <c r="R26" i="1"/>
  <c r="S26" i="1"/>
  <c r="T26" i="1" s="1"/>
  <c r="U26" i="1"/>
  <c r="V26" i="1"/>
  <c r="W26" i="1"/>
  <c r="X26" i="1"/>
  <c r="M26" i="1"/>
  <c r="L26" i="1"/>
  <c r="J26" i="1"/>
  <c r="I26" i="1"/>
  <c r="H26" i="1"/>
  <c r="K26" i="1" s="1"/>
  <c r="S25" i="1"/>
  <c r="R25" i="1"/>
  <c r="Q25" i="1"/>
  <c r="T25" i="1" s="1"/>
  <c r="X25" i="1"/>
  <c r="W25" i="1"/>
  <c r="V25" i="1"/>
  <c r="U25" i="1"/>
  <c r="J25" i="1"/>
  <c r="I25" i="1"/>
  <c r="H25" i="1"/>
  <c r="K25" i="1" s="1"/>
  <c r="O25" i="1"/>
  <c r="N25" i="1"/>
  <c r="M25" i="1"/>
  <c r="L25" i="1"/>
  <c r="X24" i="1"/>
  <c r="W24" i="1"/>
  <c r="V24" i="1"/>
  <c r="U24" i="1"/>
  <c r="R24" i="1"/>
  <c r="Q24" i="1"/>
  <c r="T24" i="1" s="1"/>
  <c r="S24" i="1"/>
  <c r="O24" i="1"/>
  <c r="N24" i="1"/>
  <c r="M24" i="1"/>
  <c r="L24" i="1"/>
  <c r="J24" i="1"/>
  <c r="I24" i="1"/>
  <c r="H24" i="1"/>
  <c r="K24" i="1" s="1"/>
  <c r="S23" i="1"/>
  <c r="R23" i="1"/>
  <c r="Q23" i="1"/>
  <c r="T23" i="1" s="1"/>
  <c r="X23" i="1"/>
  <c r="W23" i="1"/>
  <c r="V23" i="1"/>
  <c r="U23" i="1"/>
  <c r="J23" i="1"/>
  <c r="I23" i="1"/>
  <c r="H23" i="1"/>
  <c r="K23" i="1" s="1"/>
  <c r="N23" i="1"/>
  <c r="O23" i="1"/>
  <c r="M23" i="1"/>
  <c r="L23" i="1"/>
  <c r="X22" i="1"/>
  <c r="W22" i="1"/>
  <c r="V22" i="1"/>
  <c r="U22" i="1"/>
  <c r="S22" i="1"/>
  <c r="R22" i="1"/>
  <c r="Q22" i="1"/>
  <c r="T22" i="1" s="1"/>
  <c r="O22" i="1"/>
  <c r="N22" i="1"/>
  <c r="M22" i="1"/>
  <c r="L22" i="1"/>
  <c r="J22" i="1"/>
  <c r="I22" i="1"/>
  <c r="H22" i="1"/>
  <c r="K22" i="1" s="1"/>
  <c r="S21" i="1"/>
  <c r="R21" i="1"/>
  <c r="Q21" i="1"/>
  <c r="T21" i="1" s="1"/>
  <c r="V21" i="1"/>
  <c r="X21" i="1"/>
  <c r="W21" i="1"/>
  <c r="U21" i="1"/>
  <c r="O21" i="1"/>
  <c r="I21" i="1"/>
  <c r="H21" i="1"/>
  <c r="J21" i="1"/>
  <c r="N21" i="1"/>
  <c r="M21" i="1"/>
  <c r="L21" i="1"/>
  <c r="X20" i="1"/>
  <c r="W20" i="1"/>
  <c r="V20" i="1"/>
  <c r="U20" i="1"/>
  <c r="R20" i="1"/>
  <c r="Q20" i="1"/>
  <c r="S20" i="1"/>
  <c r="I20" i="1"/>
  <c r="H20" i="1"/>
  <c r="O20" i="1"/>
  <c r="N20" i="1"/>
  <c r="M20" i="1"/>
  <c r="L20" i="1"/>
  <c r="S18" i="1"/>
  <c r="V18" i="1"/>
  <c r="X18" i="1"/>
  <c r="U18" i="1"/>
  <c r="R18" i="1"/>
  <c r="W18" i="1"/>
  <c r="Q18" i="1"/>
  <c r="T18" i="1" s="1"/>
  <c r="M18" i="1"/>
  <c r="N18" i="1"/>
  <c r="L18" i="1"/>
  <c r="I18" i="1"/>
  <c r="H18" i="1"/>
  <c r="K18" i="1" s="1"/>
  <c r="J18" i="1"/>
  <c r="O18" i="1"/>
  <c r="U17" i="1"/>
  <c r="X17" i="1"/>
  <c r="V17" i="1"/>
  <c r="S17" i="1"/>
  <c r="W17" i="1"/>
  <c r="Q17" i="1"/>
  <c r="T17" i="1" s="1"/>
  <c r="R17" i="1"/>
  <c r="H17" i="1"/>
  <c r="O17" i="1"/>
  <c r="M17" i="1"/>
  <c r="I17" i="1"/>
  <c r="J17" i="1"/>
  <c r="L17" i="1"/>
  <c r="N17" i="1"/>
  <c r="S16" i="1"/>
  <c r="U16" i="1"/>
  <c r="R16" i="1"/>
  <c r="Q16" i="1"/>
  <c r="T16" i="1" s="1"/>
  <c r="V16" i="1"/>
  <c r="W16" i="1"/>
  <c r="X16" i="1"/>
  <c r="I16" i="1"/>
  <c r="O16" i="1"/>
  <c r="L16" i="1"/>
  <c r="M16" i="1"/>
  <c r="N16" i="1"/>
  <c r="H16" i="1"/>
  <c r="K16" i="1" s="1"/>
  <c r="J16" i="1"/>
  <c r="Q14" i="1"/>
  <c r="V14" i="1"/>
  <c r="U14" i="1"/>
  <c r="X14" i="1"/>
  <c r="W14" i="1"/>
  <c r="S14" i="1"/>
  <c r="T14" i="1" s="1"/>
  <c r="R14" i="1"/>
  <c r="H14" i="1"/>
  <c r="O14" i="1"/>
  <c r="N14" i="1"/>
  <c r="M14" i="1"/>
  <c r="J14" i="1"/>
  <c r="K14" i="1" s="1"/>
  <c r="I14" i="1"/>
  <c r="L14" i="1"/>
  <c r="W13" i="1"/>
  <c r="U13" i="1"/>
  <c r="X13" i="1"/>
  <c r="V13" i="1"/>
  <c r="S13" i="1"/>
  <c r="R13" i="1"/>
  <c r="Q13" i="1"/>
  <c r="T13" i="1" s="1"/>
  <c r="H13" i="1"/>
  <c r="I13" i="1"/>
  <c r="L13" i="1"/>
  <c r="M13" i="1"/>
  <c r="J13" i="1"/>
  <c r="N13" i="1"/>
  <c r="O13" i="1"/>
  <c r="U12" i="1"/>
  <c r="Q12" i="1"/>
  <c r="R12" i="1"/>
  <c r="S12" i="1"/>
  <c r="T12" i="1" s="1"/>
  <c r="I12" i="1"/>
  <c r="H12" i="1"/>
  <c r="M12" i="1"/>
  <c r="O12" i="1"/>
  <c r="N12" i="1"/>
  <c r="L12" i="1"/>
  <c r="Q11" i="1"/>
  <c r="R11" i="1"/>
  <c r="S11" i="1"/>
  <c r="W11" i="1"/>
  <c r="U11" i="1"/>
  <c r="V11" i="1"/>
  <c r="X11" i="1"/>
  <c r="J11" i="1"/>
  <c r="N11" i="1"/>
  <c r="O11" i="1"/>
  <c r="H11" i="1"/>
  <c r="I11" i="1"/>
  <c r="K11" i="1"/>
  <c r="L11" i="1"/>
  <c r="M11" i="1"/>
  <c r="U10" i="1"/>
  <c r="Q10" i="1"/>
  <c r="R10" i="1"/>
  <c r="S10" i="1"/>
  <c r="T10" i="1"/>
  <c r="V10" i="1"/>
  <c r="W10" i="1"/>
  <c r="X10" i="1"/>
  <c r="O10" i="1"/>
  <c r="N10" i="1"/>
  <c r="I10" i="1"/>
  <c r="M10" i="1"/>
  <c r="H10" i="1"/>
  <c r="J10" i="1"/>
  <c r="K10" i="1"/>
  <c r="L10" i="1"/>
  <c r="Q9" i="1"/>
  <c r="S9" i="1"/>
  <c r="T9" i="1"/>
  <c r="U9" i="1"/>
  <c r="V9" i="1"/>
  <c r="W9" i="1"/>
  <c r="R9" i="1"/>
  <c r="X9" i="1"/>
  <c r="I9" i="1"/>
  <c r="J9" i="1"/>
  <c r="L9" i="1"/>
  <c r="M9" i="1"/>
  <c r="N9" i="1"/>
  <c r="O9" i="1"/>
  <c r="H9" i="1"/>
  <c r="K9" i="1" s="1"/>
  <c r="S8" i="1"/>
  <c r="R8" i="1"/>
  <c r="Q8" i="1"/>
  <c r="T8" i="1" s="1"/>
  <c r="U8" i="1"/>
  <c r="V8" i="1"/>
  <c r="O8" i="1"/>
  <c r="N8" i="1"/>
  <c r="M8" i="1"/>
  <c r="L8" i="1"/>
  <c r="J8" i="1"/>
  <c r="I8" i="1"/>
  <c r="H8" i="1"/>
  <c r="K8" i="1" s="1"/>
  <c r="X7" i="1"/>
  <c r="W7" i="1"/>
  <c r="V7" i="1"/>
  <c r="U7" i="1"/>
  <c r="S7" i="1"/>
  <c r="R7" i="1"/>
  <c r="Q7" i="1"/>
  <c r="T7" i="1" s="1"/>
  <c r="M7" i="1"/>
  <c r="H7" i="1"/>
  <c r="I7" i="1"/>
  <c r="J7" i="1"/>
  <c r="K7" i="1" s="1"/>
  <c r="L7" i="1"/>
  <c r="O7" i="1"/>
  <c r="N7" i="1"/>
  <c r="U6" i="1"/>
  <c r="V6" i="1"/>
  <c r="W6" i="1"/>
  <c r="X6" i="1"/>
  <c r="S6" i="1"/>
  <c r="R6" i="1"/>
  <c r="Q6" i="1"/>
  <c r="O6" i="1"/>
  <c r="N6" i="1"/>
  <c r="M6" i="1"/>
  <c r="L6" i="1"/>
  <c r="I6" i="1"/>
  <c r="H6" i="1"/>
  <c r="K6" i="1" s="1"/>
  <c r="Q5" i="1"/>
  <c r="R5" i="1"/>
  <c r="S5" i="1"/>
  <c r="X5" i="1"/>
  <c r="W5" i="1"/>
  <c r="V5" i="1"/>
  <c r="U5" i="1"/>
  <c r="H5" i="1"/>
  <c r="I5" i="1"/>
  <c r="K5" i="1"/>
  <c r="M5" i="1"/>
  <c r="O5" i="1"/>
  <c r="L5" i="1"/>
  <c r="N5" i="1"/>
  <c r="T6" i="1" l="1"/>
  <c r="T20" i="1"/>
  <c r="K20" i="1"/>
  <c r="K12" i="1"/>
  <c r="T11" i="1"/>
  <c r="K13" i="1"/>
  <c r="T33" i="1"/>
  <c r="T5" i="1"/>
  <c r="K17" i="1"/>
</calcChain>
</file>

<file path=xl/sharedStrings.xml><?xml version="1.0" encoding="utf-8"?>
<sst xmlns="http://schemas.openxmlformats.org/spreadsheetml/2006/main" count="1616" uniqueCount="146">
  <si>
    <t>Descriptive Statistics</t>
  </si>
  <si>
    <t>SD = sample standard deviation (STDEV); CV = SD / Mean × 100; Q1/Q3 = QUARTILE. Missing ratings are excluded from rating statistics.</t>
  </si>
  <si>
    <t>Group Type</t>
  </si>
  <si>
    <t>Comparison Group</t>
  </si>
  <si>
    <t>Brand</t>
  </si>
  <si>
    <t>Model</t>
  </si>
  <si>
    <t>Platform</t>
  </si>
  <si>
    <t>n</t>
  </si>
  <si>
    <t>Price Mean</t>
  </si>
  <si>
    <t>Price Median</t>
  </si>
  <si>
    <t>Price SD</t>
  </si>
  <si>
    <t>Price CV (%)</t>
  </si>
  <si>
    <t>Price Min</t>
  </si>
  <si>
    <t>Price Q1</t>
  </si>
  <si>
    <t>Price Q3</t>
  </si>
  <si>
    <t>Price Max</t>
  </si>
  <si>
    <t>Rating n</t>
  </si>
  <si>
    <t>Rating Mean</t>
  </si>
  <si>
    <t>Rating Median</t>
  </si>
  <si>
    <t>Rating SD</t>
  </si>
  <si>
    <t>Rating CV (%)</t>
  </si>
  <si>
    <t>Rating Min</t>
  </si>
  <si>
    <t>Rating Q1</t>
  </si>
  <si>
    <t>Rating Q3</t>
  </si>
  <si>
    <t>Rating Max</t>
  </si>
  <si>
    <t>Overall</t>
  </si>
  <si>
    <t>Apple</t>
  </si>
  <si>
    <t>Samsung</t>
  </si>
  <si>
    <t>Huawei</t>
  </si>
  <si>
    <t>Premium Standard (Gen 1)</t>
  </si>
  <si>
    <t>Apple Watch Series 9</t>
  </si>
  <si>
    <t>Galaxy Watch7</t>
  </si>
  <si>
    <t>Huawei Watch GT 4</t>
  </si>
  <si>
    <t>Premium Standard (Gen 2)</t>
  </si>
  <si>
    <t>Apple Watch Series 10</t>
  </si>
  <si>
    <t>Galaxy Watch8</t>
  </si>
  <si>
    <t>Huawei Watch GT 5</t>
  </si>
  <si>
    <t>Premium Sport</t>
  </si>
  <si>
    <t>Apple Watch Ultra 2</t>
  </si>
  <si>
    <t>Galaxy Watch Ultra</t>
  </si>
  <si>
    <t>Huawei Watch Ultimate</t>
  </si>
  <si>
    <t>Model × Platform</t>
  </si>
  <si>
    <t>Lazada</t>
  </si>
  <si>
    <t>Shopee</t>
  </si>
  <si>
    <t>brand</t>
  </si>
  <si>
    <t>model</t>
  </si>
  <si>
    <t>platform</t>
  </si>
  <si>
    <t>product_name</t>
  </si>
  <si>
    <t>price</t>
  </si>
  <si>
    <t>rating</t>
  </si>
  <si>
    <t>Apple Watch Series 10(2024) GPS 42mm,46mm - Aluminium Case with Sport Loop</t>
  </si>
  <si>
    <t>Apple Watch Series 10 GPS + Cellular 42mm Titanium Case with Sport Band</t>
  </si>
  <si>
    <t>Apple Watch Series 10 GPS+Cellular Titanium Case สาย Milanese Loop I iStudio by SPVi</t>
  </si>
  <si>
    <t>Apple Watch Series 9 GPS+Cellular สาย Sport Loop I iStudio by SPVi</t>
  </si>
  <si>
    <t>HUAWEI WATCH GT 4 46mm /41mm สมาร์ทวอทช์ หลากสไตล์บนข้อมือด้วยหน้าจอ AMOLED ผู้ช่วยด้านสุขภาพ</t>
  </si>
  <si>
    <t>Huawei WATCH GT 4 SmartWatch NFC Bluetooth Call HarmonyOS 4</t>
  </si>
  <si>
    <t>Huawei Watch Gt 4 41mm (Light Gold Edition) Genuine, Brand New, with 1 Year Warranty (Stock Item)</t>
  </si>
  <si>
    <t>HUAWEI WATCH GT 4 41mm Silver สมาร์ทวอทช์ ตัวเรือนใหม่ไม่มีตำหนิ</t>
  </si>
  <si>
    <t>Huawei Watch Gt 5 46mm Smartwatch |     Battery Life up to 2 Weeks |     Measure Various Aspects of Health.</t>
  </si>
  <si>
    <t>HUAWEI WATCH GT 5 | สมาร์ทวอชดีไซน์สวยฟังก์ชั่นครบ ใช้ได้ทั้ง iOSและAndroid</t>
  </si>
  <si>
    <t>Huawei Watch GT5 (46") สินค้าเคลียสตอค ประกันร้าน</t>
  </si>
  <si>
    <t>Huawei Watch Ultimate Expedition Black สมาร์ทวอทช์ 48 MM ประกันศูนย์</t>
  </si>
  <si>
    <t>Huawei Watch Ultimate (Blue) New Device (Non-Chinese Rom) Can Be Used Just Like a Normal Thai Device in Every Way.</t>
  </si>
  <si>
    <t>HUAWEI WATCH ULTIMATE GREEN ตัวเรือนสวย อุปกรณ์ครบ</t>
  </si>
  <si>
    <t>Huawei WATCH Ultimate GREEN</t>
  </si>
  <si>
    <t>Samsung Galaxy Watch Ultra 2025 LTE 47mm สมาร์ทวอทช์พรีเมี่ยม Titanium จอ Sapphire AI Health GPS แท้ศูนย์</t>
  </si>
  <si>
    <t>Samsung Galaxy Watch Ultra 2025 ประกันศูนย์ Samsung 1ปี</t>
  </si>
  <si>
    <t>Samsung Galaxy Watch Ultra 2025 LTE นาฬิกาอัจฉริยะ 47mm ดีไซน์ Titanium หน้าจอ Sapphire Crystal ฟีเจอร์สุขภาพ AI</t>
  </si>
  <si>
    <t>Samsung Galaxy Watch Ultra LTE GY ประกันศูนย์</t>
  </si>
  <si>
    <t>Samsung Galaxy Watch Ultra 2025 LTE Titanium Blue โดย สยามทีวี by Siam T.V.</t>
  </si>
  <si>
    <t>Samsung Galaxy Watch Ultra (LTE, 47mm) ประกันศูนย์</t>
  </si>
  <si>
    <t>สมาร์ทวอชท์ Samsung Galaxy Watch Ultra LTE 47mm สี Titanium Gray รุ่น LTE ประกันศูนย์</t>
  </si>
  <si>
    <t>Samsung Galaxy Watch Ultra (LTE, 47mm)  ( รุ่น SS-AC-L705(TG)  ) ประกันศูนย์</t>
  </si>
  <si>
    <t>Samsung Galaxy Watch Ultra (สินค้าเครื่องศูนย์ไทย ของแท้แน่นอน)(รับประกันร้าน) จัดส่งฟรี!!!</t>
  </si>
  <si>
    <t>Samsung Galaxy Watch Ultra 2025 เครื่องศูนย์ไทย</t>
  </si>
  <si>
    <t>Samsung Galaxy Watch Ultra
ประกันศูนย์ Samsung 1ปี</t>
  </si>
  <si>
    <t>Samsung Galaxy Watch Ultra (สินค้าของแท้แน่นอน100% เครื่องศูนย์ไทย) รับประกันร้าน 1 เดือน จัดส่งฟรี)</t>
  </si>
  <si>
    <t>SAMSUNG Galaxy Watch Ultra สมาร์ทวอช Amoled 1.5นิ้ว ไทเทเนี่ยม สำหรับ Andriod เท่านั้น ประกันศูนย์</t>
  </si>
  <si>
    <t>Samsung Galaxy Watch Ultra(2025) 64GB LTE</t>
  </si>
  <si>
    <t>Samsung Galaxy Watch Ultra (2025) (47mm) (สินค้ารับประกัน1ปี) By TG</t>
  </si>
  <si>
    <t>Samsung Galaxy Watch Ultra (2025 Edition) 47mm LTE Smartwatch</t>
  </si>
  <si>
    <t>Samsung Galaxy Watch Ultra (2024)(LTE, 47mm) Galaxy AI สมาร์ทวอทช์ ของใหม่ แท้จากศูนย์ รับประกันศูนย์ซัมซุง  netplus</t>
  </si>
  <si>
    <t>Samsung Galaxy Watch Ultra 2025 LTE Titanium</t>
  </si>
  <si>
    <t>***แท้ศูนย์ไทย ร่วมโค้ด 2025 Galaxy Watch Ultra LTE</t>
  </si>
  <si>
    <t>Samsung Galaxy Watch Ultra 2025  (สินค้ารับประกันศูนย์ 1ปี)</t>
  </si>
  <si>
    <t>Samsung Galaxy Watch Ultra 2025 LTE ***ประกันศูนย์ไทย 1 ปี***</t>
  </si>
  <si>
    <t>[NEW ARRIVAL] Samsung Galaxy Watch Ultra [2025] SM-L705 (WiFi + LTE) Smartwatch – BRAND NEW</t>
  </si>
  <si>
    <t># Samsung Galaxy Watch Ultra-2025-64GB-LTE-ศูนย์ไทยใหม่มาก</t>
  </si>
  <si>
    <t>Samsung Galaxy watch Ultra</t>
  </si>
  <si>
    <t>SAMSUNG GALAXY WATCH ULTRA TITANIUM</t>
  </si>
  <si>
    <t>Samsung Galaxy Watch Ultra 2025 | Titanium Blue | Smartwatch Body Terminal | Samsung Genuine Domestic Regular Product | Released in 2025 | Felica compatible | 5ATM+IP68 | Bluetooth v5.3 | Dual GPS equipped | Calling function | Up to 60 hours of battery li</t>
  </si>
  <si>
    <t>นาฬิกาอัจฉริยะ Galaxy Watch 7 รุ่นใหม่ ขนาด 44 มม. สำหรับผู้ชาย รองรับการผ่านบลูทูธ ตรวจสุขภาพ ฟิตเนส กีฬา วัดออกซิเจนในเลือด สมาร์ทวอทช์สำหรับผู้ชาย รองรับ Android และ IOS</t>
  </si>
  <si>
    <t>2025 นาฬิกาสมาร์ทวอทช์ Samsung Galaxy Watch 7 GPS ติดตามสำหรับผู้ชายและผู้หญิง Amoled แสดงผลตลอดเวลา นาฬิกาวัดอุณหภูมิร่างกาย BT สนทนา นาฬิกาสมาร์ทวอทช์ ผ่านบลูทูธ</t>
  </si>
  <si>
    <t>สมาร์ทวอทช์ Samsung Galaxy Watch 7 รุ่นปี 2025 พร้อมระบบติดตาม GPS สำหรับผู้ชายและผู้หญิง หน้าจอ AMOLED เปิดตลอดเวลา วัดอุณหภูมิร่างกาย รองรับการสนทนาผ่านบลูทูธ</t>
  </si>
  <si>
    <t>นาฬิกาอัจฉริยะ Galaxy Watch 7 ใหม่ ขนาด 44 มม. สำหรับผู้ชาย ผ่านบลูทูธ ตรวจสอบสุขภาพ ฟิตเนส กีฬา อัตราการเต้นของหัวใจ ออกซิเจนในเลือด สมาร์ทวอทช์ผู้ชาย Android IOS</t>
  </si>
  <si>
    <t>Galaxy Watch7 (40mm, BT) Smartwatch ประกันศูนย์</t>
  </si>
  <si>
    <t>Samsung Galaxy Watch7 40mm</t>
  </si>
  <si>
    <t>Samsung Galaxy Watch 7 AI
ประกันศูนย์ Samsung 1ปี</t>
  </si>
  <si>
    <t>***แท้ศูนย์ไทย ร่วมโค้ด Galaxy Watch 7</t>
  </si>
  <si>
    <t>สมาร์ทวอทช์ Samsung Galaxy Watch7 AI Bluetooth 40mm</t>
  </si>
  <si>
    <t>Samsung Galaxy Watch7 AI สมาร์ทวอทช์ ระบบบลูทูธ 40MM,44MM</t>
  </si>
  <si>
    <t>Samsung Galaxy  Watch7 40mm Green  📍ราคา 3,500 - 📍</t>
  </si>
  <si>
    <t>Samsung ของแท้) Galaxy Watch 7 40mm(L305) / 44mm(L315) (ใหม่) Smart Watch  (LTE GPS Cellular)-New</t>
  </si>
  <si>
    <t>Samsung Galaxy Watch 7 ประกันศูนย์ Samsung 1ปี</t>
  </si>
  <si>
    <t>【NEW】2025 Galaxy Watch7 1.45" waterproof IP68 supports GPS NFC smartwatch Bluetooth fitness smartwatch sports fitness</t>
  </si>
  <si>
    <t>Galaxy Watch 7 สมาร์ทวอทช์สีเงิน - โทรไร้สาย, โทรศัพท์บลูทูธ, หน้าปัดนาฬิกาปรับแต่งได้, สไตล์สปอร์ต</t>
  </si>
  <si>
    <t>ใหม่ Galaxy Watch 7 สมาร์ทวอท์ช 44 มม.ผู้ชายบลูทูธโทรสุขภาพ Monitor ฟิตเนสกีฬา Heart Rate เลือดออกซิเจนผู้ชาย Smartwatch Andriod IOS</t>
  </si>
  <si>
    <t>Samsung Galaxy Watch 7 AI ประกันศูนย์ Samsung 1ปี</t>
  </si>
  <si>
    <t>Galaxy Watch7 AI สมาร์ทวอทช์ ระบบบลูทูธ 40MM เครื่องไทย</t>
  </si>
  <si>
    <t>❥ ใหม่galaxy Watch 7 Smartwatch GPS Track Men Amoledเสมอแสดงอุณหภูมิร่างกายนาฬิกาbt Call Smartw</t>
  </si>
  <si>
    <t>Samsung Galaxy Watch7 40mm สี Cream/ Green</t>
  </si>
  <si>
    <t>New-Samsung Galaxy Watch 7 40mm,44mm (LTE /BT )-ใหม่</t>
  </si>
  <si>
    <t>Samsung Galaxy Watch 7 SM-L300 l L310 (WiFi) / L305 l L315 (WiFi + LTE) Smartwatch – BRAND NEW</t>
  </si>
  <si>
    <t>Galaxy Watch7 44mm | Green | Smartwatch Body Device | Samsung Genuine Domestic Regular Product | SM-L310NZGJXJP</t>
  </si>
  <si>
    <t>Samsung Galaxy Watch 8 (Bluetooth, 44 mm) สี Graphite รุ่น SM-L330NDAAASA</t>
  </si>
  <si>
    <t>สมาร์ทวอทช์ Samsung Galaxy Watch 8 40mm (Bluetooth)  ขนาด 1.3 นิ้ว Amoled แบต325mAh จอวัสดุพรีเมี่ยม</t>
  </si>
  <si>
    <t>สมาร์ทวอชท์ Samsung Galaxy Watch8 (Bluetooth, 40 mm) ประกันศูนย์</t>
  </si>
  <si>
    <t>สมาร์ทวอทช์ Samsung Galaxy Watch 8 44mm (Bluetooth)  ขนาด 1.47 นิ้ว Amoled แบต435mAh จอวัสดุพรีเมี่ยม</t>
  </si>
  <si>
    <t>Samsung Galaxy Watch 8 ประกันศูนย์ Samsung 1ปี</t>
  </si>
  <si>
    <t>Samsung Galaxy Watch8 BT 40/44mm</t>
  </si>
  <si>
    <t>สมาร์ทวอทช์ Samsung Galaxy Watch8 40mm (Bluetooth) เลือกสีได้ by Banana IT</t>
  </si>
  <si>
    <t>***แท้ศูนย์ไทย ร่วมโค้ด Galaxy Watch 8</t>
  </si>
  <si>
    <t>Samsung Galaxy Watch 8 [40/44 mm] AI smart watch</t>
  </si>
  <si>
    <t>สมาร์ทวอชท์ SAMSUNG Galaxy Watch 8 40mm ประกันศูนย์</t>
  </si>
  <si>
    <t>Samsung Galaxy Watch8 (Bluetooth, 40 mm) สมาร์ทวอทช์ AI</t>
  </si>
  <si>
    <t>Samsung Galaxy Watch8 40 mm Bluetooth Silver โดย สยามทีวี by Siam T.V.</t>
  </si>
  <si>
    <t>Samsung Galaxy Watch8 40 mm Bluetooth Graphite โดย สยามทีวี by Siam T.V.</t>
  </si>
  <si>
    <t>Samsung Galaxy Watch8 ซัมซุง สมาร์ทวอทช์ สายสีขาว หน้าจอ 44 มิลลิเมตร แสดงผลดอกไม้</t>
  </si>
  <si>
    <t>Samsung Galaxy Watch8 40,44mm BT ซัมซุง สมาร์ทวอทช์ สายยางสีเทา หน้าปัดวงกลม แสดงเวลาและวันที่</t>
  </si>
  <si>
    <t>Samsung Galaxy Watch8 44mm (BT) (สินค้ารับประกันศูนย์ 1ปี)</t>
  </si>
  <si>
    <t>ซัมซุง Samsung Galaxy Watch8  นาฬิกาอัจฉริยะ สายยางสีเทา designed to fit comfortably on various wrist sizes.</t>
  </si>
  <si>
    <t>Samsung Galaxy Watch8 40,44mm BT</t>
  </si>
  <si>
    <t>Samsung Galaxy Watch8 (Bluetooth, 44 mm) สมาร์ทวอทช์ AI</t>
  </si>
  <si>
    <t>💢Samsung Galaxy Watch 8💢AI smart watch ใหม่มือ1️⃣ ของแท้ศูนย์ไทย 💯%</t>
  </si>
  <si>
    <t>Samsung Galaxy Watch 8 BT 40mm สี Graphite สวมใส่สบายตลอด 24 ชั่วโมง พร้อมหน้าจอ AMOLED สว่างสู้แดด และฟีเจอร์ Galaxy AI</t>
  </si>
  <si>
    <t>สมาร์ทวอทช์ Samsung Galaxy Watch 8 40mm (สินค้ารับประกัน1ปี) By TG</t>
  </si>
  <si>
    <t>Samsung Galaxy Watch8 40mm Bluetooth</t>
  </si>
  <si>
    <t>Galaxy Watch 8 (40")(44") สินค้าของแท้ศูนย์ไทยแท้ ค้างสต็อก ประกันร้านเท่านั้น</t>
  </si>
  <si>
    <t>Samsung Galaxy Watch 8 Bluetooth Smartwatch (40/44mm) นาฬิกาสมาร์ทวอทช์ ของซัมซุง หน้าจอ 1.47“  ประกันศูนย์ 1ปี</t>
  </si>
  <si>
    <t>Samsung Galaxy Watch 8 Bluetooth Smartwatch (40/44mm)</t>
  </si>
  <si>
    <t>Samsung Galaxy Watch 8 40mm, 44mm LTE (SM-L325)*</t>
  </si>
  <si>
    <t>Samsung Galaxy Watch8 40mm (BT) (สินค้ารับประกันศูนย์ 1ปี)</t>
  </si>
  <si>
    <t>Samsung Galaxy Watch 8 (2025), Graphite, 40mm, สมาร์ทวอทช์บลูทูธ</t>
  </si>
  <si>
    <t>Samsung Galaxy Watch 8 (Bluetooth, 44 mm) รุ่น SM-L330NDAAASA สี Graphite</t>
  </si>
  <si>
    <t>Samsung Galaxy Watch8 สมาร์ทวอทช์ ระบบบลูทูธ 40mm</t>
  </si>
  <si>
    <t>Samsung Galaxy Watch 8 Bluetooth 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</si>
</sst>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b/>
      <sz val="14"/>
      <name val="Carlito"/>
    </font>
    <font>
      <i/>
      <sz val="11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61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0" fillId="3" borderId="0" xfId="0" applyFill="1"/>
    <xf numFmtId="4" fontId="0" fillId="3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53"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8EBCD2-6D24-4D23-891F-9723046FD8E9}" name="Table1" displayName="Table1" ref="B4:X35" totalsRowShown="0" headerRowDxfId="49">
  <autoFilter ref="B4:X35" xr:uid="{608EBCD2-6D24-4D23-891F-9723046FD8E9}"/>
  <tableColumns count="23">
    <tableColumn id="1" xr3:uid="{67458E5E-E663-4533-8FC4-1D9546780BBC}" name="Group Type"/>
    <tableColumn id="2" xr3:uid="{76275BD5-3EED-49CE-8446-CA8D0DABFCF7}" name="Comparison Group"/>
    <tableColumn id="3" xr3:uid="{28F2438E-3CDA-4C4A-8766-57715D37D018}" name="Brand"/>
    <tableColumn id="4" xr3:uid="{6CD379F3-D2D6-4BD2-B64A-92F429F1E655}" name="Model"/>
    <tableColumn id="5" xr3:uid="{3C2EB0A8-0BAD-4378-89F0-5BDD9153042B}" name="Platform"/>
    <tableColumn id="6" xr3:uid="{6CE3D0B5-1BD4-48B8-B479-E6E34C13ABDB}" name="n"/>
    <tableColumn id="7" xr3:uid="{B132AE66-45FF-404C-8FE1-225BFA1B609B}" name="Price Mean" dataDxfId="48"/>
    <tableColumn id="8" xr3:uid="{D93DD236-57DE-4C10-9C84-D6BFBB0CF138}" name="Price Median" dataDxfId="47"/>
    <tableColumn id="9" xr3:uid="{441B8F93-59E0-44CB-975D-F74259024454}" name="Price SD" dataDxfId="46"/>
    <tableColumn id="10" xr3:uid="{B596794B-3611-4E3E-8C66-54408D9A271E}" name="Price CV (%)" dataDxfId="45">
      <calculatedColumnFormula>IF(OR(G5&lt;2,H5=0),"",J5/H5*100)</calculatedColumnFormula>
    </tableColumn>
    <tableColumn id="11" xr3:uid="{921DAC6C-48BB-427A-BCA1-B2F7243D1D39}" name="Price Min" dataDxfId="44"/>
    <tableColumn id="12" xr3:uid="{62608AB5-9B27-4290-8269-58077B61222B}" name="Price Q1" dataDxfId="43"/>
    <tableColumn id="13" xr3:uid="{2F9FDB44-93F4-438D-8D00-00ED156DAD26}" name="Price Q3" dataDxfId="42"/>
    <tableColumn id="14" xr3:uid="{5244D297-7371-414A-A1CC-DFA9E941ABE8}" name="Price Max" dataDxfId="41"/>
    <tableColumn id="15" xr3:uid="{3762D7F6-B63A-460C-8353-ED41BCD0B4AA}" name="Rating n"/>
    <tableColumn id="16" xr3:uid="{DB1AA01E-EA6E-4CB1-B45C-8515EB6EA389}" name="Rating Mean" dataDxfId="40"/>
    <tableColumn id="17" xr3:uid="{0C4BB8AE-B734-4655-994E-6D3AD5A32FF6}" name="Rating Median" dataDxfId="39"/>
    <tableColumn id="18" xr3:uid="{723CB2AA-8C24-4054-9C00-5288D705A4F7}" name="Rating SD" dataDxfId="38"/>
    <tableColumn id="19" xr3:uid="{64A1CFDD-7A08-49D7-88C1-32B0F5C32D77}" name="Rating CV (%)" dataDxfId="37">
      <calculatedColumnFormula>IF(OR(P5&lt;2,Q5=0),"",S5/Q5*100)</calculatedColumnFormula>
    </tableColumn>
    <tableColumn id="20" xr3:uid="{19D7E071-1F24-4354-8655-D9889530DBA4}" name="Rating Min" dataDxfId="36"/>
    <tableColumn id="21" xr3:uid="{C5278980-1389-465D-8C80-305B1ADD8D6D}" name="Rating Q1" dataDxfId="35"/>
    <tableColumn id="22" xr3:uid="{BACFD2F4-8FD5-490E-8D52-8D4B7EA7B9D4}" name="Rating Q3" dataDxfId="34"/>
    <tableColumn id="23" xr3:uid="{2E494D6A-E1BF-4418-B7A2-2A52C4EDF368}" name="Rating Max" dataDxfId="3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6FAACC-6CC3-4061-9964-52F041EEB448}" name="Table2" displayName="Table2" ref="B2:G117" totalsRowShown="0" headerRowDxfId="32">
  <autoFilter ref="B2:G117" xr:uid="{906FAACC-6CC3-4061-9964-52F041EEB448}"/>
  <tableColumns count="6">
    <tableColumn id="1" xr3:uid="{5F8A3743-7B2E-450F-8C88-897EE84D837A}" name="brand"/>
    <tableColumn id="2" xr3:uid="{E9E857EC-966F-4293-8B8A-5A770CB622B7}" name="model"/>
    <tableColumn id="3" xr3:uid="{7F139F35-B4F0-4FA0-B960-045DAD70040D}" name="platform"/>
    <tableColumn id="4" xr3:uid="{721E18BA-7F9E-45A5-8223-92E98854FFC7}" name="product_name"/>
    <tableColumn id="5" xr3:uid="{1D020644-3DBB-439F-9F33-A85C0882378F}" name="price" dataDxfId="31"/>
    <tableColumn id="6" xr3:uid="{7468242B-F6C3-45B0-B30A-2CC8AF8E0FB5}" name="rating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9753A4-423D-4318-A8C3-AB998B29A260}" name="Table3" displayName="Table3" ref="B2:G6" totalsRowShown="0" headerRowDxfId="29">
  <autoFilter ref="B2:G6" xr:uid="{7D9753A4-423D-4318-A8C3-AB998B29A260}"/>
  <tableColumns count="6">
    <tableColumn id="1" xr3:uid="{C34BC1F2-B54A-4A22-8C98-E780A12D15DB}" name="brand"/>
    <tableColumn id="2" xr3:uid="{84E4E0EC-897E-4B5F-860C-AB13F8108009}" name="model"/>
    <tableColumn id="3" xr3:uid="{29AA954A-8E7B-478D-A771-15D909E50CA7}" name="platform"/>
    <tableColumn id="4" xr3:uid="{32935E93-46CC-46D5-8863-AD1083E94561}" name="product_name"/>
    <tableColumn id="5" xr3:uid="{4D69F091-E8EF-4DDC-AC79-0008684A07BC}" name="price" dataDxfId="28"/>
    <tableColumn id="6" xr3:uid="{4FD569B8-3944-4D43-A577-12318CBDEAC2}" name="rating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139ABC-D465-4B40-92B6-8C97957B8ED7}" name="Table4" displayName="Table4" ref="B2:G98" totalsRowShown="0" headerRowDxfId="26">
  <autoFilter ref="B2:G98" xr:uid="{0A139ABC-D465-4B40-92B6-8C97957B8ED7}"/>
  <tableColumns count="6">
    <tableColumn id="1" xr3:uid="{F238F6B0-2783-4D23-A079-8FAB1E2EB162}" name="brand"/>
    <tableColumn id="2" xr3:uid="{31BD49F0-A64F-4B64-BC15-2002A9BF9944}" name="model"/>
    <tableColumn id="3" xr3:uid="{C664571D-420E-4D1D-ADCC-A015E3ADB438}" name="platform"/>
    <tableColumn id="4" xr3:uid="{D9FB3E6A-2ACA-4AEB-8831-F5C94D7C8A0A}" name="product_name"/>
    <tableColumn id="5" xr3:uid="{863E17D5-A9C0-4BDC-9F07-9E17EA0FD735}" name="price" dataDxfId="25"/>
    <tableColumn id="6" xr3:uid="{48D10597-7F5D-4CAC-8FD8-C300DAD12618}" name="rating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051D89-69F4-42DD-B186-74AB34A74FF2}" name="Table5" displayName="Table5" ref="B2:G17" totalsRowShown="0" headerRowDxfId="23">
  <autoFilter ref="B2:G17" xr:uid="{EE051D89-69F4-42DD-B186-74AB34A74FF2}"/>
  <tableColumns count="6">
    <tableColumn id="1" xr3:uid="{6377EF2E-C1DF-47E0-B8D4-B1C236445154}" name="brand"/>
    <tableColumn id="2" xr3:uid="{0EAC1C41-D88C-4906-B0FF-492D4DF37727}" name="model"/>
    <tableColumn id="3" xr3:uid="{938BAF50-12CE-4F22-A1E2-4DCA71468076}" name="platform"/>
    <tableColumn id="4" xr3:uid="{5CD7E856-B247-4D29-9B78-4C53F4221A6C}" name="product_name"/>
    <tableColumn id="5" xr3:uid="{1640B708-8860-4D77-ACD6-5DE65B04A3DF}" name="price" dataDxfId="22"/>
    <tableColumn id="6" xr3:uid="{CC097140-F188-45A3-8526-139F6BEE4C08}" name="rating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1BEE2F-536F-4904-BC76-10214916B6E9}" name="Table6" displayName="Table6" ref="B2:G3" totalsRowShown="0" headerRowDxfId="20">
  <autoFilter ref="B2:G3" xr:uid="{2C1BEE2F-536F-4904-BC76-10214916B6E9}"/>
  <tableColumns count="6">
    <tableColumn id="1" xr3:uid="{47E7C3BE-1277-4151-9943-930751221860}" name="brand"/>
    <tableColumn id="2" xr3:uid="{16CF62A7-45AB-4761-B3D6-FBB953C89456}" name="model"/>
    <tableColumn id="3" xr3:uid="{71205E56-427F-409C-AA48-858ED6DA3893}" name="platform"/>
    <tableColumn id="4" xr3:uid="{69BEFDB9-DB60-4D25-A625-3123F08E7159}" name="product_name"/>
    <tableColumn id="5" xr3:uid="{8C64A8F3-34E9-4549-A9D3-448A40C43A73}" name="price" dataDxfId="19"/>
    <tableColumn id="6" xr3:uid="{52FD0E9D-0378-4794-9838-54B7BE01E9FE}" name="rating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DF2E08-75FE-42A6-A78B-7A0356719E91}" name="Table7" displayName="Table7" ref="B2:G28" totalsRowShown="0" headerRowDxfId="17">
  <autoFilter ref="B2:G28" xr:uid="{00DF2E08-75FE-42A6-A78B-7A0356719E91}"/>
  <tableColumns count="6">
    <tableColumn id="1" xr3:uid="{16864E9E-9C6C-4ADE-9371-CCBD0A603266}" name="brand"/>
    <tableColumn id="2" xr3:uid="{47FAABFD-38B8-4BD2-B6AC-EEBFB844BC2A}" name="model"/>
    <tableColumn id="3" xr3:uid="{C2613F48-F5E2-4737-B86D-3B00728DF669}" name="platform"/>
    <tableColumn id="4" xr3:uid="{16A57B03-E390-4426-A22F-1B6C6D567DC0}" name="product_name"/>
    <tableColumn id="5" xr3:uid="{4DD9B738-E2D7-49DA-9C28-C1016312A6C0}" name="price" dataDxfId="16"/>
    <tableColumn id="6" xr3:uid="{AE98BD57-7099-42B1-BD96-34598D9C8469}" name="rating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D7B939-1D12-4E20-89C1-D53803C035F2}" name="Table8" displayName="Table8" ref="B2:G8" totalsRowShown="0" headerRowDxfId="52">
  <autoFilter ref="B2:G8" xr:uid="{39D7B939-1D12-4E20-89C1-D53803C035F2}"/>
  <tableColumns count="6">
    <tableColumn id="1" xr3:uid="{0585998B-A599-4E85-9C6D-D0A5993AD135}" name="brand"/>
    <tableColumn id="2" xr3:uid="{04A956B8-C210-411F-998F-F5C9BB35471A}" name="model"/>
    <tableColumn id="3" xr3:uid="{07C204C7-3E42-421A-A34F-F48F61D4620D}" name="platform"/>
    <tableColumn id="4" xr3:uid="{E99DAA76-FA52-480C-A231-824B5F140354}" name="product_name"/>
    <tableColumn id="5" xr3:uid="{42E6061D-6621-44D8-85A7-A6CF8AE8F06A}" name="price" dataDxfId="51"/>
    <tableColumn id="6" xr3:uid="{0562D156-44BF-4498-BB6F-9C9C906DF822}" name="rating" dataDxfId="5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0EFF72-2DCE-4FBC-BFD8-785775B3A380}" name="Table9" displayName="Table9" ref="B2:G5" totalsRowShown="0" headerRowDxfId="14">
  <autoFilter ref="B2:G5" xr:uid="{230EFF72-2DCE-4FBC-BFD8-785775B3A380}"/>
  <tableColumns count="6">
    <tableColumn id="1" xr3:uid="{BAF19856-4A4D-41E6-BEEE-6BA4B4016F96}" name="brand"/>
    <tableColumn id="2" xr3:uid="{25F52879-9EED-4401-860D-30D1A6F8835D}" name="model"/>
    <tableColumn id="3" xr3:uid="{76B48441-0BB9-4FA0-A118-380DAB019639}" name="platform"/>
    <tableColumn id="4" xr3:uid="{EBE6F2EC-F0F2-4B1D-A94D-A407BD7F5251}" name="product_name"/>
    <tableColumn id="5" xr3:uid="{5BABA774-C9DC-4BAA-896A-722EDFAA61E2}" name="price" dataDxfId="13"/>
    <tableColumn id="6" xr3:uid="{CE6E7773-536C-440C-BC12-CF2EF47A6B21}" name="rating" dataDxfId="1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DFCB97-D8F8-46BD-9201-82BFE252AFB8}" name="Table10" displayName="Table10" ref="B2:G40" totalsRowShown="0" headerRowDxfId="11">
  <autoFilter ref="B2:G40" xr:uid="{F2DFCB97-D8F8-46BD-9201-82BFE252AFB8}"/>
  <tableColumns count="6">
    <tableColumn id="1" xr3:uid="{E40D0A5C-6A8E-4EEC-969B-40176608B52E}" name="brand"/>
    <tableColumn id="2" xr3:uid="{10E2567F-55BA-485A-BA52-B29BE75DD946}" name="model"/>
    <tableColumn id="3" xr3:uid="{3D2449CB-8CD3-42DA-8BDC-9148F035C97C}" name="platform"/>
    <tableColumn id="4" xr3:uid="{3B6E882F-295D-45ED-AFA1-B824F78BE80F}" name="product_name"/>
    <tableColumn id="5" xr3:uid="{CDFCC678-2A55-44F4-98F4-A752F86C80D0}" name="price" dataDxfId="10"/>
    <tableColumn id="6" xr3:uid="{7B967933-54E0-4197-90BA-02740003D24B}" name="rating" dataDxfId="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85B424-BC45-4516-8F2F-4E61723E45DE}" name="Table11" displayName="Table11" ref="B2:G7" totalsRowShown="0" headerRowDxfId="8">
  <autoFilter ref="B2:G7" xr:uid="{4085B424-BC45-4516-8F2F-4E61723E45DE}"/>
  <tableColumns count="6">
    <tableColumn id="1" xr3:uid="{C60C316F-A75B-4420-9ECC-E7C683652E91}" name="brand"/>
    <tableColumn id="2" xr3:uid="{5D4F5CB5-9DC3-4602-B4DB-1125B37285D0}" name="model"/>
    <tableColumn id="3" xr3:uid="{F1F0F6DE-CE00-4E98-A439-9B55F6E79862}" name="platform"/>
    <tableColumn id="4" xr3:uid="{F98793CD-7209-46DE-930B-B43262054838}" name="product_name"/>
    <tableColumn id="5" xr3:uid="{4D93B0CC-256E-4D8A-BA81-7E3B0F8C15C1}" name="price" dataDxfId="7"/>
    <tableColumn id="6" xr3:uid="{0DAF1CB5-4E55-463C-8037-08CCB4AC1784}" name="rating" dataDxfId="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7647B4B-ADAE-49B9-AF20-04A3CBEF2A76}" name="Table14" displayName="Table14" ref="B2:G34" totalsRowShown="0" headerRowDxfId="5">
  <autoFilter ref="B2:G34" xr:uid="{07647B4B-ADAE-49B9-AF20-04A3CBEF2A76}"/>
  <tableColumns count="6">
    <tableColumn id="1" xr3:uid="{8B794683-A45B-4580-9EAD-045CF9C202DC}" name="brand"/>
    <tableColumn id="2" xr3:uid="{4BBC79DA-8E64-4567-B20A-B3DF43B32D13}" name="model"/>
    <tableColumn id="3" xr3:uid="{326654EC-E67E-45EB-BD57-E2FE816B68E9}" name="platform"/>
    <tableColumn id="4" xr3:uid="{F42F692D-69A1-47E7-89F9-8ABB126650BA}" name="product_name"/>
    <tableColumn id="5" xr3:uid="{BA2A5026-0272-4166-B014-7F57A6AEFED8}" name="price" dataDxfId="4"/>
    <tableColumn id="6" xr3:uid="{166B9DDB-9C0D-4B4D-BC05-A43C3EBE75C7}" name="rating" dataDxfId="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C678202-38FD-41AD-90C7-8928EB3E9BF6}" name="Table15" displayName="Table15" ref="B2:G6" totalsRowShown="0" headerRowDxfId="2">
  <autoFilter ref="B2:G6" xr:uid="{4C678202-38FD-41AD-90C7-8928EB3E9BF6}"/>
  <tableColumns count="6">
    <tableColumn id="1" xr3:uid="{1E1486B1-02ED-4606-9EA8-7E68501FDDA7}" name="brand"/>
    <tableColumn id="2" xr3:uid="{75ADAE61-FA73-4B93-9A5E-7941AE69FED8}" name="model"/>
    <tableColumn id="3" xr3:uid="{31138AAC-B1AA-47D0-90E7-3B91532B1A05}" name="platform"/>
    <tableColumn id="4" xr3:uid="{BAA01264-E55F-47C4-A256-DC16057D8B7E}" name="product_name"/>
    <tableColumn id="5" xr3:uid="{90C6BEE1-AE7F-4B31-B869-469AAA8A864A}" name="price" dataDxfId="1"/>
    <tableColumn id="6" xr3:uid="{47918E95-14BB-4227-BB91-8460B27753A2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5"/>
  <sheetViews>
    <sheetView tabSelected="1" topLeftCell="A5" zoomScaleNormal="100" workbookViewId="0">
      <selection activeCell="B34" sqref="B34"/>
    </sheetView>
  </sheetViews>
  <sheetFormatPr defaultRowHeight="13.8"/>
  <cols>
    <col min="2" max="2" width="18" customWidth="1"/>
    <col min="3" max="3" width="24" customWidth="1"/>
    <col min="4" max="4" width="12" customWidth="1"/>
    <col min="5" max="5" width="24" customWidth="1"/>
    <col min="6" max="6" width="12" customWidth="1"/>
    <col min="7" max="7" width="8" customWidth="1"/>
    <col min="8" max="8" width="13" customWidth="1"/>
    <col min="9" max="9" width="14.09765625" customWidth="1"/>
    <col min="10" max="10" width="13" customWidth="1"/>
    <col min="11" max="11" width="13.8984375" customWidth="1"/>
    <col min="12" max="15" width="13" customWidth="1"/>
    <col min="16" max="16" width="10.09765625" customWidth="1"/>
    <col min="17" max="17" width="13.796875" customWidth="1"/>
    <col min="18" max="18" width="15.3984375" customWidth="1"/>
    <col min="19" max="19" width="13" customWidth="1"/>
    <col min="20" max="20" width="15.19921875" customWidth="1"/>
    <col min="21" max="24" width="13" customWidth="1"/>
  </cols>
  <sheetData>
    <row r="1" spans="2:24" ht="17.399999999999999"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2:24" ht="14.4">
      <c r="B2" s="7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4" spans="2:24" ht="24.6" customHeight="1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</row>
    <row r="5" spans="2:24">
      <c r="B5" t="s">
        <v>25</v>
      </c>
      <c r="G5">
        <f>COUNT(All_Data!$F$3:$F$117)</f>
        <v>115</v>
      </c>
      <c r="H5" s="1">
        <f>IF(G5=0,"",AVERAGE(All_Data!$F$3:$F$117))</f>
        <v>12061.359565217392</v>
      </c>
      <c r="I5" s="1">
        <f>IF(G5=0,"",MEDIAN(All_Data!$F$3:$F$117))</f>
        <v>10900</v>
      </c>
      <c r="J5" s="1">
        <f>IF(G5&lt;2,"",STDEV(All_Data!$F$3:$F$117))</f>
        <v>7460.9378477631662</v>
      </c>
      <c r="K5" s="2">
        <f t="shared" ref="K5:K14" si="0">IF(OR(G5&lt;2,H5=0),"",J5/H5*100)</f>
        <v>61.858182797891672</v>
      </c>
      <c r="L5" s="1">
        <f>IF(G5=0,"",MIN(All_Data!$F$3:$F$117))</f>
        <v>429</v>
      </c>
      <c r="M5" s="1">
        <f>IF(G5=0,"",QUARTILE(All_Data!$F$3:$F$117,1))</f>
        <v>6650</v>
      </c>
      <c r="N5" s="1">
        <f>IF(G5=0,"",QUARTILE(All_Data!$F$3:$F$117,3))</f>
        <v>15999.5</v>
      </c>
      <c r="O5" s="1">
        <f>IF(G5=0,"",MAX(All_Data!$F$3:$F$117))</f>
        <v>34055</v>
      </c>
      <c r="P5">
        <f>COUNT(All_Data!$G$3:$G$117)</f>
        <v>73</v>
      </c>
      <c r="Q5" s="2">
        <f>IF(P5=0,"",AVERAGE(All_Data!$G$3:$G$117))</f>
        <v>4.8479452054794523</v>
      </c>
      <c r="R5" s="2">
        <f>IF(P5=0,"",MEDIAN(All_Data!$G$3:$G$117))</f>
        <v>5</v>
      </c>
      <c r="S5" s="2">
        <f>IF(P5&lt;2,"",STDEV(All_Data!$G$3:$G$117))</f>
        <v>0.54188702928876942</v>
      </c>
      <c r="T5" s="2">
        <f t="shared" ref="T5:T14" si="1">IF(OR(P5&lt;2,Q5=0),"",S5/Q5*100)</f>
        <v>11.177664068403551</v>
      </c>
      <c r="U5" s="2">
        <f>IF(P5=0,"",MIN(All_Data!$G$3:$G$117))</f>
        <v>1</v>
      </c>
      <c r="V5" s="2">
        <f>IF(P5=0,"",QUARTILE(All_Data!$G$3:$G$117,1))</f>
        <v>4.9000000000000004</v>
      </c>
      <c r="W5" s="2">
        <f>IF(P5=0,"",QUARTILE(All_Data!$G$3:$G$117,3))</f>
        <v>5</v>
      </c>
      <c r="X5" s="2">
        <f>IF(P5=0,"",MAX(All_Data!$G$3:$G$117))</f>
        <v>5</v>
      </c>
    </row>
    <row r="6" spans="2:24">
      <c r="B6" t="s">
        <v>4</v>
      </c>
      <c r="D6" t="s">
        <v>26</v>
      </c>
      <c r="G6">
        <f>COUNT(Apple!$F$3:$F$6)</f>
        <v>4</v>
      </c>
      <c r="H6" s="1">
        <f>IF(G6=0,"",AVERAGE(Apple!$F$3:$F$6))</f>
        <v>20532.5</v>
      </c>
      <c r="I6" s="1">
        <f>IF(G6=0,"",MEDIAN(Apple!$F$3:$F$6))</f>
        <v>19515</v>
      </c>
      <c r="J6" s="1">
        <f>IF(G6&lt;2,"",STDEV(Apple!$F$3:$F$6))</f>
        <v>4892.9430475600948</v>
      </c>
      <c r="K6" s="2">
        <f t="shared" si="0"/>
        <v>23.830235224936537</v>
      </c>
      <c r="L6" s="1">
        <f>IF(G6=0,"",MIN(Apple!$F$3:$F$6))</f>
        <v>15900</v>
      </c>
      <c r="M6" s="1">
        <f>IF(G6=0,"",QUARTILE(Apple!$F$3:$F$6,1))</f>
        <v>17572.5</v>
      </c>
      <c r="N6" s="1">
        <f>IF(G6=0,"",QUARTILE(Apple!$F$3:$F$6,3))</f>
        <v>22475</v>
      </c>
      <c r="O6" s="1">
        <f>IF(G6=0,"",MAX(Apple!$F$3:$F$6))</f>
        <v>27200</v>
      </c>
      <c r="P6">
        <f>COUNT(Apple!$G$3:$G$6)</f>
        <v>4</v>
      </c>
      <c r="Q6" s="2">
        <f>IF(P6=0,"",AVERAGE(Apple!$G$3:$G$6))</f>
        <v>4.95</v>
      </c>
      <c r="R6" s="2">
        <f>IF(P6=0,"",MEDIAN(Apple!$G$3:$G$6))</f>
        <v>5</v>
      </c>
      <c r="S6" s="2">
        <f>IF(P6&lt;2,"",STDEV(Apple!$G$3:$G$6))</f>
        <v>0.10000000000000009</v>
      </c>
      <c r="T6" s="2">
        <f t="shared" si="1"/>
        <v>2.0202020202020217</v>
      </c>
      <c r="U6" s="2">
        <f>IF(P6=0,"",MIN(Apple!$G$3:$G$6))</f>
        <v>4.8</v>
      </c>
      <c r="V6" s="2">
        <f>IF(P6=0,"",QUARTILE(Apple!$G$3:$G$6,1))</f>
        <v>4.95</v>
      </c>
      <c r="W6" s="2">
        <f>IF(P6=0,"",QUARTILE(Apple!$G$3:$G$6,3))</f>
        <v>5</v>
      </c>
      <c r="X6" s="2">
        <f>IF(P6=0,"",MAX(Apple!$G$3:$G$6))</f>
        <v>5</v>
      </c>
    </row>
    <row r="7" spans="2:24">
      <c r="B7" t="s">
        <v>4</v>
      </c>
      <c r="D7" t="s">
        <v>27</v>
      </c>
      <c r="G7">
        <f>COUNT(Samsung!$F$3:$F$98)</f>
        <v>96</v>
      </c>
      <c r="H7" s="1">
        <f>IF(G7=0,"",AVERAGE(Samsung!$F$3:$F$98))</f>
        <v>12022.350520833332</v>
      </c>
      <c r="I7" s="1">
        <f>IF(G7=0,"",MEDIAN(Samsung!$F$3:$F$98))</f>
        <v>10945</v>
      </c>
      <c r="J7" s="1">
        <f>IF(G7&lt;2,"",STDEV(Samsung!$F$3:$F$98))</f>
        <v>7342.5648841862476</v>
      </c>
      <c r="K7" s="2">
        <f t="shared" si="0"/>
        <v>61.07428719086537</v>
      </c>
      <c r="L7" s="1">
        <f>IF(G7=0,"",MIN(Samsung!$F$3:$F$98))</f>
        <v>429</v>
      </c>
      <c r="M7" s="1">
        <f>IF(G7=0,"",QUARTILE(Samsung!$F$3:$F$98,1))</f>
        <v>6987.5</v>
      </c>
      <c r="N7" s="1">
        <f>IF(G7=0,"",QUARTILE(Samsung!$F$3:$F$98,3))</f>
        <v>15696</v>
      </c>
      <c r="O7" s="1">
        <f>IF(G7=0,"",MAX(Samsung!$F$3:$F$98))</f>
        <v>34055</v>
      </c>
      <c r="P7">
        <f>COUNT(Samsung!$G$3:$G$98)</f>
        <v>60</v>
      </c>
      <c r="Q7" s="2">
        <f>IF(P7=0,"",AVERAGE(Samsung!$G$3:$G$98))</f>
        <v>4.8233333333333341</v>
      </c>
      <c r="R7" s="2">
        <f>IF(P7=0,"",MEDIAN(Samsung!$G$3:$G$98))</f>
        <v>5</v>
      </c>
      <c r="S7" s="2">
        <f>IF(P7&lt;2,"",STDEV(Samsung!$G$3:$G$98))</f>
        <v>0.59499798224032052</v>
      </c>
      <c r="T7" s="2">
        <f t="shared" si="1"/>
        <v>12.335825478375682</v>
      </c>
      <c r="U7" s="2">
        <f>IF(P7=0,"",MIN(Samsung!$G$3:$G$98))</f>
        <v>1</v>
      </c>
      <c r="V7" s="2">
        <f>IF(P7=0,"",QUARTILE(Samsung!$G$3:$G$98,1))</f>
        <v>4.9000000000000004</v>
      </c>
      <c r="W7" s="2">
        <f>IF(P7=0,"",QUARTILE(Samsung!$G$3:$G$98,3))</f>
        <v>5</v>
      </c>
      <c r="X7" s="2">
        <f>IF(P7=0,"",MAX(Samsung!$G$3:$G$98))</f>
        <v>5</v>
      </c>
    </row>
    <row r="8" spans="2:24">
      <c r="B8" t="s">
        <v>4</v>
      </c>
      <c r="D8" t="s">
        <v>28</v>
      </c>
      <c r="G8">
        <f>COUNT(Huawei!$F$3:$F$17)</f>
        <v>15</v>
      </c>
      <c r="H8" s="1">
        <f>IF(G8=0,"",AVERAGE(Huawei!$F$3:$F$17))</f>
        <v>10052.046666666667</v>
      </c>
      <c r="I8" s="1">
        <f>IF(G8=0,"",MEDIAN(Huawei!$F$3:$F$17))</f>
        <v>4990</v>
      </c>
      <c r="J8" s="1">
        <f>IF(G8&lt;2,"",STDEV(Huawei!$F$3:$F$17))</f>
        <v>7580.7478883651283</v>
      </c>
      <c r="K8" s="2">
        <f t="shared" si="0"/>
        <v>75.414969107768385</v>
      </c>
      <c r="L8" s="1">
        <f>IF(G8=0,"",MIN(Huawei!$F$3:$F$17))</f>
        <v>3690</v>
      </c>
      <c r="M8" s="1">
        <f>IF(G8=0,"",QUARTILE(Huawei!$F$3:$F$17,1))</f>
        <v>4035</v>
      </c>
      <c r="N8" s="1">
        <f>IF(G8=0,"",QUARTILE(Huawei!$F$3:$F$17,3))</f>
        <v>17400</v>
      </c>
      <c r="O8" s="1">
        <f>IF(G8=0,"",MAX(Huawei!$F$3:$F$17))</f>
        <v>23900</v>
      </c>
      <c r="P8">
        <f>COUNT(Huawei!$G$3:$G$17)</f>
        <v>9</v>
      </c>
      <c r="Q8" s="2">
        <f>IF(P8=0,"",AVERAGE(Huawei!$G$3:$G$17))</f>
        <v>4.9666666666666659</v>
      </c>
      <c r="R8" s="2">
        <f>IF(P8=0,"",MEDIAN(Huawei!$G$3:$G$17))</f>
        <v>5</v>
      </c>
      <c r="S8" s="2">
        <f>IF(P8&lt;2,"",STDEV(Huawei!$G$3:$G$17))</f>
        <v>4.9999999999999829E-2</v>
      </c>
      <c r="T8" s="2">
        <f t="shared" si="1"/>
        <v>1.0067114093959697</v>
      </c>
      <c r="U8" s="2">
        <f>IF(P8=0,"",MIN(Huawei!$G$3:$G$17))</f>
        <v>4.9000000000000004</v>
      </c>
      <c r="V8" s="2">
        <f>IF(P8=0,"",QUARTILE(Huawei!$G$3:$G$17,1))</f>
        <v>4.9000000000000004</v>
      </c>
      <c r="W8" s="2">
        <f>IF(P8=0,"",QUARTILE(Huawei!$G$3:$G$17,3))</f>
        <v>5</v>
      </c>
      <c r="X8" s="2">
        <f>IF(P8=0,"",MAX(Huawei!$G$3:$G$17))</f>
        <v>5</v>
      </c>
    </row>
    <row r="9" spans="2:24">
      <c r="B9" t="s">
        <v>5</v>
      </c>
      <c r="C9" t="s">
        <v>29</v>
      </c>
      <c r="D9" t="s">
        <v>26</v>
      </c>
      <c r="E9" t="s">
        <v>30</v>
      </c>
      <c r="G9">
        <f>COUNT(Apple_S9!$F$3:$F$3)</f>
        <v>1</v>
      </c>
      <c r="H9" s="1">
        <f>IF(G9=0,"",AVERAGE(Apple_S9!$F$3:$F$3))</f>
        <v>20900</v>
      </c>
      <c r="I9" s="1">
        <f>IF(G9=0,"",MEDIAN(Apple_S9!$F$3:$F$3))</f>
        <v>20900</v>
      </c>
      <c r="J9" s="1" t="str">
        <f>IF(G9&lt;2,"",STDEV(Apple_S9!$F$3:$F$3))</f>
        <v/>
      </c>
      <c r="K9" s="2" t="str">
        <f t="shared" si="0"/>
        <v/>
      </c>
      <c r="L9" s="1">
        <f>IF(G9=0,"",MIN(Apple_S9!$F$3:$F$3))</f>
        <v>20900</v>
      </c>
      <c r="M9" s="1">
        <f>IF(G9=0,"",QUARTILE(Apple_S9!$F$3:$F$3,1))</f>
        <v>20900</v>
      </c>
      <c r="N9" s="1">
        <f>IF(G9=0,"",QUARTILE(Apple_S9!$F$3:$F$3,3))</f>
        <v>20900</v>
      </c>
      <c r="O9" s="1">
        <f>IF(G9=0,"",MAX(Apple_S9!$F$3:$F$3))</f>
        <v>20900</v>
      </c>
      <c r="P9">
        <f>COUNT(Apple_S9!$G$3:$G$3)</f>
        <v>1</v>
      </c>
      <c r="Q9" s="2">
        <f>IF(P9=0,"",AVERAGE(Apple_S9!$G$3:$G$3))</f>
        <v>5</v>
      </c>
      <c r="R9" s="2">
        <f>IF(P9=0,"",MEDIAN(Apple_S9!$G$3:$G$3))</f>
        <v>5</v>
      </c>
      <c r="S9" s="2" t="str">
        <f>IF(P9&lt;2,"",STDEV(Apple_S9!$G$3:$G$3))</f>
        <v/>
      </c>
      <c r="T9" s="2" t="str">
        <f t="shared" si="1"/>
        <v/>
      </c>
      <c r="U9" s="2">
        <f>IF(P9=0,"",MIN(Apple_S9!$G$3:$G$3))</f>
        <v>5</v>
      </c>
      <c r="V9" s="2">
        <f>IF(P9=0,"",QUARTILE(Apple_S9!$G$3:$G$3,1))</f>
        <v>5</v>
      </c>
      <c r="W9" s="2">
        <f>IF(P9=0,"",QUARTILE(Apple_S9!$G$3:$G$3,3))</f>
        <v>5</v>
      </c>
      <c r="X9" s="2">
        <f>IF(P9=0,"",MAX(Apple_S9!$G$3:$G$3))</f>
        <v>5</v>
      </c>
    </row>
    <row r="10" spans="2:24">
      <c r="B10" t="s">
        <v>5</v>
      </c>
      <c r="C10" t="s">
        <v>29</v>
      </c>
      <c r="D10" t="s">
        <v>27</v>
      </c>
      <c r="E10" t="s">
        <v>31</v>
      </c>
      <c r="G10">
        <f>COUNT(Galaxy_Watch7!$F$3:$F$28)</f>
        <v>26</v>
      </c>
      <c r="H10" s="1">
        <f>IF(G10=0,"",AVERAGE(Galaxy_Watch7!$F$3:$F$28))</f>
        <v>5944.414615384615</v>
      </c>
      <c r="I10" s="1">
        <f>IF(G10=0,"",MEDIAN(Galaxy_Watch7!$F$3:$F$28))</f>
        <v>6444.5</v>
      </c>
      <c r="J10" s="1">
        <f>IF(G10&lt;2,"",STDEV(Galaxy_Watch7!$F$3:$F$28))</f>
        <v>5116.3090188324086</v>
      </c>
      <c r="K10" s="2">
        <f t="shared" si="0"/>
        <v>86.06918174231987</v>
      </c>
      <c r="L10" s="1">
        <f>IF(G10=0,"",MIN(Galaxy_Watch7!$F$3:$F$28))</f>
        <v>429</v>
      </c>
      <c r="M10" s="1">
        <f>IF(G10=0,"",QUARTILE(Galaxy_Watch7!$F$3:$F$28,1))</f>
        <v>1045.77</v>
      </c>
      <c r="N10" s="1">
        <f>IF(G10=0,"",QUARTILE(Galaxy_Watch7!$F$3:$F$28,3))</f>
        <v>9259.5</v>
      </c>
      <c r="O10" s="1">
        <f>IF(G10=0,"",MAX(Galaxy_Watch7!$F$3:$F$28))</f>
        <v>20995</v>
      </c>
      <c r="P10">
        <f>COUNT(Galaxy_Watch7!$G$3:$G$28)</f>
        <v>16</v>
      </c>
      <c r="Q10" s="2">
        <f>IF(P10=0,"",AVERAGE(Galaxy_Watch7!$G$3:$G$28))</f>
        <v>4.8624999999999998</v>
      </c>
      <c r="R10" s="2">
        <f>IF(P10=0,"",MEDIAN(Galaxy_Watch7!$G$3:$G$28))</f>
        <v>5</v>
      </c>
      <c r="S10" s="2">
        <f>IF(P10&lt;2,"",STDEV(Galaxy_Watch7!$G$3:$G$28))</f>
        <v>0.27537852736430507</v>
      </c>
      <c r="T10" s="2">
        <f t="shared" si="1"/>
        <v>5.6633116167466344</v>
      </c>
      <c r="U10" s="2">
        <f>IF(P10=0,"",MIN(Galaxy_Watch7!$G$3:$G$28))</f>
        <v>4</v>
      </c>
      <c r="V10" s="2">
        <f>IF(P10=0,"",QUARTILE(Galaxy_Watch7!$G$3:$G$28,1))</f>
        <v>4.9000000000000004</v>
      </c>
      <c r="W10" s="2">
        <f>IF(P10=0,"",QUARTILE(Galaxy_Watch7!$G$3:$G$28,3))</f>
        <v>5</v>
      </c>
      <c r="X10" s="2">
        <f>IF(P10=0,"",MAX(Galaxy_Watch7!$G$3:$G$28))</f>
        <v>5</v>
      </c>
    </row>
    <row r="11" spans="2:24">
      <c r="B11" t="s">
        <v>5</v>
      </c>
      <c r="C11" t="s">
        <v>29</v>
      </c>
      <c r="D11" t="s">
        <v>28</v>
      </c>
      <c r="E11" t="s">
        <v>32</v>
      </c>
      <c r="G11">
        <f>COUNT(Huawei_GT4!$F$3:$F$8)</f>
        <v>6</v>
      </c>
      <c r="H11" s="1">
        <f>IF(G11=0,"",AVERAGE(Huawei_GT4!$F$3:$F$8))</f>
        <v>5358.333333333333</v>
      </c>
      <c r="I11" s="1">
        <f>IF(G11=0,"",MEDIAN(Huawei_GT4!$F$3:$F$8))</f>
        <v>3990</v>
      </c>
      <c r="J11" s="1">
        <f>IF(G11&lt;2,"",STDEV(Huawei_GT4!$F$3:$F$8))</f>
        <v>2496.2405065751714</v>
      </c>
      <c r="K11" s="2">
        <f t="shared" si="0"/>
        <v>46.586136981185163</v>
      </c>
      <c r="L11" s="1">
        <f>IF(G11=0,"",MIN(Huawei_GT4!$F$3:$F$8))</f>
        <v>3690</v>
      </c>
      <c r="M11" s="1">
        <f>IF(G11=0,"",QUARTILE(Huawei_GT4!$F$3:$F$8,1))</f>
        <v>3990</v>
      </c>
      <c r="N11" s="1">
        <f>IF(G11=0,"",QUARTILE(Huawei_GT4!$F$3:$F$8,3))</f>
        <v>5872.5</v>
      </c>
      <c r="O11" s="1">
        <f>IF(G11=0,"",MAX(Huawei_GT4!$F$3:$F$8))</f>
        <v>9990</v>
      </c>
      <c r="P11">
        <f>COUNT(Huawei_GT4!$G$3:$G$8)</f>
        <v>3</v>
      </c>
      <c r="Q11" s="2">
        <f>IF(P11=0,"",AVERAGE(Huawei_GT4!$G$3:$G$8))</f>
        <v>4.9666666666666668</v>
      </c>
      <c r="R11" s="2">
        <f>IF(P11=0,"",MEDIAN(Huawei_GT4!$G$3:$G$8))</f>
        <v>5</v>
      </c>
      <c r="S11" s="2">
        <f>IF(P11&lt;2,"",STDEV(Huawei_GT4!$G$3:$G$8))</f>
        <v>5.7735026918962373E-2</v>
      </c>
      <c r="T11" s="2">
        <f t="shared" si="1"/>
        <v>1.1624502064220612</v>
      </c>
      <c r="U11" s="2">
        <f>IF(P11=0,"",MIN(Huawei_GT4!$G$3:$G$8))</f>
        <v>4.9000000000000004</v>
      </c>
      <c r="V11" s="2">
        <f>IF(P11=0,"",QUARTILE(Huawei_GT4!$G$3:$G$8,1))</f>
        <v>4.95</v>
      </c>
      <c r="W11" s="2">
        <f>IF(P11=0,"",QUARTILE(Huawei_GT4!$G$3:$G$8,3))</f>
        <v>5</v>
      </c>
      <c r="X11" s="2">
        <f>IF(P11=0,"",MAX(Huawei_GT4!$G$3:$G$8))</f>
        <v>5</v>
      </c>
    </row>
    <row r="12" spans="2:24">
      <c r="B12" t="s">
        <v>5</v>
      </c>
      <c r="C12" t="s">
        <v>33</v>
      </c>
      <c r="D12" t="s">
        <v>26</v>
      </c>
      <c r="E12" t="s">
        <v>34</v>
      </c>
      <c r="G12">
        <f>COUNT(Apple_S10!$F$3:$F$5)</f>
        <v>3</v>
      </c>
      <c r="H12" s="1">
        <f>IF(G12=0,"",AVERAGE(Apple_S10!$F$3:$F$5))</f>
        <v>20410</v>
      </c>
      <c r="I12" s="1">
        <f>IF(G12=0,"",MEDIAN(Apple_S10!$F$3:$F$5))</f>
        <v>18130</v>
      </c>
      <c r="J12" s="1">
        <f>IF(G12&lt;2,"",STDEV(Apple_S10!$F$3:$F$5))</f>
        <v>5985.0898071791707</v>
      </c>
      <c r="K12" s="2">
        <f t="shared" si="0"/>
        <v>29.324300868099805</v>
      </c>
      <c r="L12" s="1">
        <f>IF(G12=0,"",MIN(Apple_S10!$F$3:$F$5))</f>
        <v>15900</v>
      </c>
      <c r="M12" s="1">
        <f>IF(G12=0,"",QUARTILE(Apple_S10!$F$3:$F$5,1))</f>
        <v>17015</v>
      </c>
      <c r="N12" s="1">
        <f>IF(G12=0,"",QUARTILE(Apple_S10!$F$3:$F$5,3))</f>
        <v>22665</v>
      </c>
      <c r="O12" s="1">
        <f>IF(G12=0,"",MAX(Apple_S10!$F$3:$F$5))</f>
        <v>27200</v>
      </c>
      <c r="P12">
        <f>COUNT(Apple_S10!$G$3:$G$5)</f>
        <v>3</v>
      </c>
      <c r="Q12" s="2">
        <f>IF(P12=0,"",AVERAGE(Apple_S10!$G$3:$G$5))</f>
        <v>4.9333333333333336</v>
      </c>
      <c r="R12" s="2">
        <f>IF(P12=0,"",MEDIAN(Apple_S10!$G$3:$G$5))</f>
        <v>5</v>
      </c>
      <c r="S12" s="2">
        <f>IF(P12&lt;2,"",STDEV(Apple_S10!$G$3:$G$5))</f>
        <v>0.11547005383792526</v>
      </c>
      <c r="T12" s="2">
        <f t="shared" si="1"/>
        <v>2.3406091994174041</v>
      </c>
      <c r="U12" s="2">
        <f>IF(P12=0,"",MIN(Apple_S10!$G$3:$G$5))</f>
        <v>4.8</v>
      </c>
      <c r="V12" s="2">
        <f>IF(P12=0,"",QUARTILE(Apple_S10!$G$3:$G$5,1))</f>
        <v>4.9000000000000004</v>
      </c>
      <c r="W12" s="2">
        <f>IF(P12=0,"",QUARTILE(Apple_S10!$G$3:$G$5,3))</f>
        <v>5</v>
      </c>
      <c r="X12" s="2">
        <f>IF(P12=0,"",MAX(Apple_S10!$G$3:$G$5))</f>
        <v>5</v>
      </c>
    </row>
    <row r="13" spans="2:24">
      <c r="B13" t="s">
        <v>5</v>
      </c>
      <c r="C13" t="s">
        <v>33</v>
      </c>
      <c r="D13" t="s">
        <v>27</v>
      </c>
      <c r="E13" t="s">
        <v>35</v>
      </c>
      <c r="G13">
        <f>COUNT(Galaxy_Watch8!$F$3:$F$40)</f>
        <v>38</v>
      </c>
      <c r="H13" s="1">
        <f>IF(G13=0,"",AVERAGE(Galaxy_Watch8!$F$3:$F$40))</f>
        <v>10304.917631578946</v>
      </c>
      <c r="I13" s="1">
        <f>IF(G13=0,"",MEDIAN(Galaxy_Watch8!$F$3:$F$40))</f>
        <v>10295</v>
      </c>
      <c r="J13" s="1">
        <f>IF(G13&lt;2,"",STDEV(Galaxy_Watch8!$F$3:$F$40))</f>
        <v>3333.139634197224</v>
      </c>
      <c r="K13" s="2">
        <f t="shared" si="0"/>
        <v>32.345136112325349</v>
      </c>
      <c r="L13" s="1">
        <f>IF(G13=0,"",MIN(Galaxy_Watch8!$F$3:$F$40))</f>
        <v>5120</v>
      </c>
      <c r="M13" s="1">
        <f>IF(G13=0,"",QUARTILE(Galaxy_Watch8!$F$3:$F$40,1))</f>
        <v>7790</v>
      </c>
      <c r="N13" s="1">
        <f>IF(G13=0,"",QUARTILE(Galaxy_Watch8!$F$3:$F$40,3))</f>
        <v>12588</v>
      </c>
      <c r="O13" s="1">
        <f>IF(G13=0,"",MAX(Galaxy_Watch8!$F$3:$F$40))</f>
        <v>16703</v>
      </c>
      <c r="P13">
        <f>COUNT(Galaxy_Watch8!$G$3:$G$40)</f>
        <v>24</v>
      </c>
      <c r="Q13" s="2">
        <f>IF(P13=0,"",AVERAGE(Galaxy_Watch8!$G$3:$G$40))</f>
        <v>4.8125</v>
      </c>
      <c r="R13" s="2">
        <f>IF(P13=0,"",MEDIAN(Galaxy_Watch8!$G$3:$G$40))</f>
        <v>5</v>
      </c>
      <c r="S13" s="2">
        <f>IF(P13&lt;2,"",STDEV(Galaxy_Watch8!$G$3:$G$40))</f>
        <v>0.81470853684001654</v>
      </c>
      <c r="T13" s="2">
        <f t="shared" si="1"/>
        <v>16.929008557714628</v>
      </c>
      <c r="U13" s="2">
        <f>IF(P13=0,"",MIN(Galaxy_Watch8!$G$3:$G$40))</f>
        <v>1</v>
      </c>
      <c r="V13" s="2">
        <f>IF(P13=0,"",QUARTILE(Galaxy_Watch8!$G$3:$G$40,1))</f>
        <v>5</v>
      </c>
      <c r="W13" s="2">
        <f>IF(P13=0,"",QUARTILE(Galaxy_Watch8!$G$3:$G$40,3))</f>
        <v>5</v>
      </c>
      <c r="X13" s="2">
        <f>IF(P13=0,"",MAX(Galaxy_Watch8!$G$3:$G$40))</f>
        <v>5</v>
      </c>
    </row>
    <row r="14" spans="2:24">
      <c r="B14" t="s">
        <v>5</v>
      </c>
      <c r="C14" t="s">
        <v>33</v>
      </c>
      <c r="D14" t="s">
        <v>28</v>
      </c>
      <c r="E14" t="s">
        <v>36</v>
      </c>
      <c r="G14">
        <f>COUNT(Huawei_GT5!$F$3:$F$7)</f>
        <v>5</v>
      </c>
      <c r="H14" s="1">
        <f>IF(G14=0,"",AVERAGE(Huawei_GT5!$F$3:$F$7))</f>
        <v>8006.1399999999994</v>
      </c>
      <c r="I14" s="1">
        <f>IF(G14=0,"",MEDIAN(Huawei_GT5!$F$3:$F$7))</f>
        <v>4990</v>
      </c>
      <c r="J14" s="1">
        <f>IF(G14&lt;2,"",STDEV(Huawei_GT5!$F$3:$F$7))</f>
        <v>7263.6954092252527</v>
      </c>
      <c r="K14" s="2">
        <f t="shared" si="0"/>
        <v>90.72655998053061</v>
      </c>
      <c r="L14" s="1">
        <f>IF(G14=0,"",MIN(Huawei_GT5!$F$3:$F$7))</f>
        <v>4080</v>
      </c>
      <c r="M14" s="1">
        <f>IF(G14=0,"",QUARTILE(Huawei_GT5!$F$3:$F$7,1))</f>
        <v>4990</v>
      </c>
      <c r="N14" s="1">
        <f>IF(G14=0,"",QUARTILE(Huawei_GT5!$F$3:$F$7,3))</f>
        <v>4990</v>
      </c>
      <c r="O14" s="1">
        <f>IF(G14=0,"",MAX(Huawei_GT5!$F$3:$F$7))</f>
        <v>20980.7</v>
      </c>
      <c r="P14">
        <f>COUNT(Huawei_GT5!$G$3:$G$7)</f>
        <v>4</v>
      </c>
      <c r="Q14" s="2">
        <f>IF(P14=0,"",AVERAGE(Huawei_GT5!$G$3:$G$7))</f>
        <v>4.9749999999999996</v>
      </c>
      <c r="R14" s="2">
        <f>IF(P14=0,"",MEDIAN(Huawei_GT5!$G$3:$G$7))</f>
        <v>5</v>
      </c>
      <c r="S14" s="2">
        <f>IF(P14&lt;2,"",STDEV(Huawei_GT5!$G$3:$G$7))</f>
        <v>4.9999999999999822E-2</v>
      </c>
      <c r="T14" s="2">
        <f t="shared" si="1"/>
        <v>1.0050251256281373</v>
      </c>
      <c r="U14" s="2">
        <f>IF(P14=0,"",MIN(Huawei_GT5!$G$3:$G$7))</f>
        <v>4.9000000000000004</v>
      </c>
      <c r="V14" s="2">
        <f>IF(P14=0,"",QUARTILE(Huawei_GT5!$G$3:$G$7,1))</f>
        <v>4.9749999999999996</v>
      </c>
      <c r="W14" s="2">
        <f>IF(P14=0,"",QUARTILE(Huawei_GT5!$G$3:$G$7,3))</f>
        <v>5</v>
      </c>
      <c r="X14" s="2">
        <f>IF(P14=0,"",MAX(Huawei_GT5!$G$3:$G$7))</f>
        <v>5</v>
      </c>
    </row>
    <row r="15" spans="2:24">
      <c r="B15" s="8" t="s">
        <v>5</v>
      </c>
      <c r="C15" s="8" t="s">
        <v>37</v>
      </c>
      <c r="D15" s="8" t="s">
        <v>26</v>
      </c>
      <c r="E15" s="8" t="s">
        <v>38</v>
      </c>
      <c r="F15" s="8"/>
      <c r="G15" s="8">
        <f>0</f>
        <v>0</v>
      </c>
      <c r="H15" s="9"/>
      <c r="I15" s="9"/>
      <c r="J15" s="9"/>
      <c r="K15" s="10"/>
      <c r="L15" s="9"/>
      <c r="M15" s="9"/>
      <c r="N15" s="9"/>
      <c r="O15" s="9"/>
      <c r="P15" s="8">
        <f>0</f>
        <v>0</v>
      </c>
      <c r="Q15" s="10"/>
      <c r="R15" s="10"/>
      <c r="S15" s="10"/>
      <c r="T15" s="10"/>
      <c r="U15" s="10"/>
      <c r="V15" s="10"/>
      <c r="W15" s="10"/>
      <c r="X15" s="10"/>
    </row>
    <row r="16" spans="2:24">
      <c r="B16" t="s">
        <v>5</v>
      </c>
      <c r="C16" t="s">
        <v>37</v>
      </c>
      <c r="D16" t="s">
        <v>27</v>
      </c>
      <c r="E16" t="s">
        <v>39</v>
      </c>
      <c r="G16">
        <f>COUNT(Galaxy_Ultra!$F$3:$F$34)</f>
        <v>32</v>
      </c>
      <c r="H16" s="1">
        <f>IF(G16=0,"",AVERAGE(Galaxy_Ultra!$F$3:$F$34))</f>
        <v>19000.125</v>
      </c>
      <c r="I16" s="1">
        <f>IF(G16=0,"",MEDIAN(Galaxy_Ultra!$F$3:$F$34))</f>
        <v>17685</v>
      </c>
      <c r="J16" s="1">
        <f>IF(G16&lt;2,"",STDEV(Galaxy_Ultra!$F$3:$F$34))</f>
        <v>6781.5314939345235</v>
      </c>
      <c r="K16" s="2">
        <f>IF(OR(G16&lt;2,H16=0),"",J16/H16*100)</f>
        <v>35.692036204680356</v>
      </c>
      <c r="L16" s="1">
        <f>IF(G16=0,"",MIN(Galaxy_Ultra!$F$3:$F$34))</f>
        <v>6500</v>
      </c>
      <c r="M16" s="1">
        <f>IF(G16=0,"",QUARTILE(Galaxy_Ultra!$F$3:$F$34,1))</f>
        <v>14212.5</v>
      </c>
      <c r="N16" s="1">
        <f>IF(G16=0,"",QUARTILE(Galaxy_Ultra!$F$3:$F$34,3))</f>
        <v>23360</v>
      </c>
      <c r="O16" s="1">
        <f>IF(G16=0,"",MAX(Galaxy_Ultra!$F$3:$F$34))</f>
        <v>34055</v>
      </c>
      <c r="P16">
        <f>COUNT(Galaxy_Ultra!$G$3:$G$34)</f>
        <v>20</v>
      </c>
      <c r="Q16" s="2">
        <f>IF(P16=0,"",AVERAGE(Galaxy_Ultra!$G$3:$G$34))</f>
        <v>4.8049999999999997</v>
      </c>
      <c r="R16" s="2">
        <f>IF(P16=0,"",MEDIAN(Galaxy_Ultra!$G$3:$G$34))</f>
        <v>5</v>
      </c>
      <c r="S16" s="2">
        <f>IF(P16&lt;2,"",STDEV(Galaxy_Ultra!$G$3:$G$34))</f>
        <v>0.48392583163777886</v>
      </c>
      <c r="T16" s="2">
        <f>IF(OR(P16&lt;2,Q16=0),"",S16/Q16*100)</f>
        <v>10.071297224511527</v>
      </c>
      <c r="U16" s="2">
        <f>IF(P16=0,"",MIN(Galaxy_Ultra!$G$3:$G$34))</f>
        <v>3</v>
      </c>
      <c r="V16" s="2">
        <f>IF(P16=0,"",QUARTILE(Galaxy_Ultra!$G$3:$G$34,1))</f>
        <v>4.9000000000000004</v>
      </c>
      <c r="W16" s="2">
        <f>IF(P16=0,"",QUARTILE(Galaxy_Ultra!$G$3:$G$34,3))</f>
        <v>5</v>
      </c>
      <c r="X16" s="2">
        <f>IF(P16=0,"",MAX(Galaxy_Ultra!$G$3:$G$34))</f>
        <v>5</v>
      </c>
    </row>
    <row r="17" spans="2:24">
      <c r="B17" t="s">
        <v>5</v>
      </c>
      <c r="C17" t="s">
        <v>37</v>
      </c>
      <c r="D17" t="s">
        <v>28</v>
      </c>
      <c r="E17" t="s">
        <v>40</v>
      </c>
      <c r="G17">
        <f>COUNT(Huawei_Ultimate!$F$3:$F$6)</f>
        <v>4</v>
      </c>
      <c r="H17" s="1">
        <f>IF(G17=0,"",AVERAGE(Huawei_Ultimate!$F$3:$F$6))</f>
        <v>19650</v>
      </c>
      <c r="I17" s="1">
        <f>IF(G17=0,"",MEDIAN(Huawei_Ultimate!$F$3:$F$6))</f>
        <v>19900</v>
      </c>
      <c r="J17" s="1">
        <f>IF(G17&lt;2,"",STDEV(Huawei_Ultimate!$F$3:$F$6))</f>
        <v>3685.5573979159967</v>
      </c>
      <c r="K17" s="2">
        <f>IF(OR(G17&lt;2,H17=0),"",J17/H17*100)</f>
        <v>18.756017292193366</v>
      </c>
      <c r="L17" s="1">
        <f>IF(G17=0,"",MIN(Huawei_Ultimate!$F$3:$F$6))</f>
        <v>14900</v>
      </c>
      <c r="M17" s="1">
        <f>IF(G17=0,"",QUARTILE(Huawei_Ultimate!$F$3:$F$6,1))</f>
        <v>18650</v>
      </c>
      <c r="N17" s="1">
        <f>IF(G17=0,"",QUARTILE(Huawei_Ultimate!$F$3:$F$6,3))</f>
        <v>20900</v>
      </c>
      <c r="O17" s="1">
        <f>IF(G17=0,"",MAX(Huawei_Ultimate!$F$3:$F$6))</f>
        <v>23900</v>
      </c>
      <c r="P17">
        <f>COUNT(Huawei_Ultimate!$G$3:$G$6)</f>
        <v>2</v>
      </c>
      <c r="Q17" s="2">
        <f>IF(P17=0,"",AVERAGE(Huawei_Ultimate!$G$3:$G$6))</f>
        <v>4.95</v>
      </c>
      <c r="R17" s="2">
        <f>IF(P17=0,"",MEDIAN(Huawei_Ultimate!$G$3:$G$6))</f>
        <v>4.95</v>
      </c>
      <c r="S17" s="2">
        <f>IF(P17&lt;2,"",STDEV(Huawei_Ultimate!$G$3:$G$6))</f>
        <v>7.0710678118654502E-2</v>
      </c>
      <c r="T17" s="2">
        <f>IF(OR(P17&lt;2,Q17=0),"",S17/Q17*100)</f>
        <v>1.4284985478516061</v>
      </c>
      <c r="U17" s="2">
        <f>IF(P17=0,"",MIN(Huawei_Ultimate!$G$3:$G$6))</f>
        <v>4.9000000000000004</v>
      </c>
      <c r="V17" s="2">
        <f>IF(P17=0,"",QUARTILE(Huawei_Ultimate!$G$3:$G$6,1))</f>
        <v>4.9250000000000007</v>
      </c>
      <c r="W17" s="2">
        <f>IF(P17=0,"",QUARTILE(Huawei_Ultimate!$G$3:$G$6,3))</f>
        <v>4.9749999999999996</v>
      </c>
      <c r="X17" s="2">
        <f>IF(P17=0,"",MAX(Huawei_Ultimate!$G$3:$G$6))</f>
        <v>5</v>
      </c>
    </row>
    <row r="18" spans="2:24">
      <c r="B18" t="s">
        <v>41</v>
      </c>
      <c r="C18" t="s">
        <v>29</v>
      </c>
      <c r="D18" t="s">
        <v>26</v>
      </c>
      <c r="E18" t="s">
        <v>30</v>
      </c>
      <c r="F18" t="s">
        <v>42</v>
      </c>
      <c r="G18">
        <f>COUNT(Apple_S9!$F$3:$F$3)</f>
        <v>1</v>
      </c>
      <c r="H18" s="1">
        <f>IF(G18=0,"",AVERAGE(Apple_S9!$F$3:$F$3))</f>
        <v>20900</v>
      </c>
      <c r="I18" s="1">
        <f>IF(G18=0,"",MEDIAN(Apple_S9!$F$3:$F$3))</f>
        <v>20900</v>
      </c>
      <c r="J18" s="1" t="str">
        <f>IF(G18&lt;2,"",STDEV(Apple_S9!$F$3:$F$3))</f>
        <v/>
      </c>
      <c r="K18" s="2" t="str">
        <f>IF(OR(G18&lt;2,H18=0),"",J18/H18*100)</f>
        <v/>
      </c>
      <c r="L18" s="1">
        <f>IF(G18=0,"",MIN(Apple_S9!$F$3:$F$3))</f>
        <v>20900</v>
      </c>
      <c r="M18" s="1">
        <f>IF(G18=0,"",QUARTILE(Apple_S9!$F$3:$F$3,1))</f>
        <v>20900</v>
      </c>
      <c r="N18" s="1">
        <f>IF(G18=0,"",QUARTILE(Apple_S9!$F$3:$F$3,3))</f>
        <v>20900</v>
      </c>
      <c r="O18" s="1">
        <f>IF(G18=0,"",MAX(Apple_S9!$F$3:$F$3))</f>
        <v>20900</v>
      </c>
      <c r="P18">
        <f>COUNT(Apple_S9!$G$3:$G$3)</f>
        <v>1</v>
      </c>
      <c r="Q18" s="2">
        <f>IF(P18=0,"",AVERAGE(Apple_S9!$G$3:$G$3))</f>
        <v>5</v>
      </c>
      <c r="R18" s="2">
        <f>IF(P18=0,"",MEDIAN(Apple_S9!$G$3:$G$3))</f>
        <v>5</v>
      </c>
      <c r="S18" s="2" t="str">
        <f>IF(P18&lt;2,"",STDEV(Apple_S9!$G$3:$G$3))</f>
        <v/>
      </c>
      <c r="T18" s="2" t="str">
        <f>IF(OR(P18&lt;2,Q18=0),"",S18/Q18*100)</f>
        <v/>
      </c>
      <c r="U18" s="2">
        <f>IF(P18=0,"",MIN(Apple_S9!$G$3:$G$3))</f>
        <v>5</v>
      </c>
      <c r="V18" s="2">
        <f>IF(P18=0,"",QUARTILE(Apple_S9!$G$3:$G$3,1))</f>
        <v>5</v>
      </c>
      <c r="W18" s="2">
        <f>IF(P18=0,"",QUARTILE(Apple_S9!$G$3:$G$3,3))</f>
        <v>5</v>
      </c>
      <c r="X18" s="2">
        <f>IF(P18=0,"",MAX(Apple_S9!$G$3:$G$3))</f>
        <v>5</v>
      </c>
    </row>
    <row r="19" spans="2:24">
      <c r="B19" s="8" t="s">
        <v>41</v>
      </c>
      <c r="C19" s="8" t="s">
        <v>29</v>
      </c>
      <c r="D19" s="8" t="s">
        <v>26</v>
      </c>
      <c r="E19" s="8" t="s">
        <v>30</v>
      </c>
      <c r="F19" s="8" t="s">
        <v>43</v>
      </c>
      <c r="G19" s="8">
        <f>0</f>
        <v>0</v>
      </c>
      <c r="H19" s="9"/>
      <c r="I19" s="9"/>
      <c r="J19" s="9"/>
      <c r="K19" s="10"/>
      <c r="L19" s="9"/>
      <c r="M19" s="9"/>
      <c r="N19" s="9"/>
      <c r="O19" s="9"/>
      <c r="P19" s="8">
        <f>0</f>
        <v>0</v>
      </c>
      <c r="Q19" s="10"/>
      <c r="R19" s="10"/>
      <c r="S19" s="10"/>
      <c r="T19" s="10"/>
      <c r="U19" s="10"/>
      <c r="V19" s="10"/>
      <c r="W19" s="10"/>
      <c r="X19" s="10"/>
    </row>
    <row r="20" spans="2:24">
      <c r="B20" t="s">
        <v>41</v>
      </c>
      <c r="C20" t="s">
        <v>29</v>
      </c>
      <c r="D20" t="s">
        <v>27</v>
      </c>
      <c r="E20" t="s">
        <v>31</v>
      </c>
      <c r="F20" t="s">
        <v>42</v>
      </c>
      <c r="G20">
        <f>COUNT(Galaxy_Watch7!$F$3:$F$15)</f>
        <v>13</v>
      </c>
      <c r="H20" s="1">
        <f>IF(G20=0,"",AVERAGE(Galaxy_Watch7!$F$3:$F$15))</f>
        <v>4281.5984615384605</v>
      </c>
      <c r="I20" s="1">
        <f>IF(G20=0,"",MEDIAN(Galaxy_Watch7!$F$3:$F$15))</f>
        <v>3500</v>
      </c>
      <c r="J20" s="1">
        <f>IF(G20&lt;2,"",STDEV(Galaxy_Watch7!$F$3:$F$15))</f>
        <v>3829.8609689535865</v>
      </c>
      <c r="K20" s="2">
        <f t="shared" ref="K20:K29" si="2">IF(OR(G20&lt;2,H20=0),"",J20/H20*100)</f>
        <v>89.449326071960613</v>
      </c>
      <c r="L20" s="1">
        <f>IF(G20=0,"",MIN(Galaxy_Watch7!$F$3:$F$15))</f>
        <v>566.35</v>
      </c>
      <c r="M20" s="1">
        <f>IF(G20=0,"",QUARTILE(Galaxy_Watch7!$F$3:$F$15,1))</f>
        <v>1045.21</v>
      </c>
      <c r="N20" s="1">
        <f>IF(G20=0,"",QUARTILE(Galaxy_Watch7!$F$3:$F$15,3))</f>
        <v>6999</v>
      </c>
      <c r="O20" s="1">
        <f>IF(G20=0,"",MAX(Galaxy_Watch7!$F$3:$F$15))</f>
        <v>10900</v>
      </c>
      <c r="P20">
        <f>COUNT(Galaxy_Watch7!$G$3:$G$15)</f>
        <v>4</v>
      </c>
      <c r="Q20" s="2">
        <f>IF(P20=0,"",AVERAGE(Galaxy_Watch7!$G$3:$G$15))</f>
        <v>5</v>
      </c>
      <c r="R20" s="2">
        <f>IF(P20=0,"",MEDIAN(Galaxy_Watch7!$G$3:$G$15))</f>
        <v>5</v>
      </c>
      <c r="S20" s="2">
        <f>IF(P20&lt;2,"",STDEV(Galaxy_Watch7!$G$3:$G$15))</f>
        <v>0</v>
      </c>
      <c r="T20" s="2">
        <f t="shared" ref="T20:T29" si="3">IF(OR(P20&lt;2,Q20=0),"",S20/Q20*100)</f>
        <v>0</v>
      </c>
      <c r="U20" s="2">
        <f>IF(P20=0,"",MIN(Galaxy_Watch7!$G$3:$G$15))</f>
        <v>5</v>
      </c>
      <c r="V20" s="2">
        <f>IF(P20=0,"",QUARTILE(Galaxy_Watch7!$G$3:$G$15,1))</f>
        <v>5</v>
      </c>
      <c r="W20" s="2">
        <f>IF(P20=0,"",QUARTILE(Galaxy_Watch7!$G$3:$G$15,3))</f>
        <v>5</v>
      </c>
      <c r="X20" s="2">
        <f>IF(P20=0,"",MAX(Galaxy_Watch7!$G$3:$G$15))</f>
        <v>5</v>
      </c>
    </row>
    <row r="21" spans="2:24">
      <c r="B21" t="s">
        <v>41</v>
      </c>
      <c r="C21" t="s">
        <v>29</v>
      </c>
      <c r="D21" t="s">
        <v>27</v>
      </c>
      <c r="E21" t="s">
        <v>31</v>
      </c>
      <c r="F21" t="s">
        <v>43</v>
      </c>
      <c r="G21">
        <f>COUNT(Galaxy_Watch7!$F$16:$F$28)</f>
        <v>13</v>
      </c>
      <c r="H21" s="1">
        <f>IF(G21=0,"",AVERAGE(Galaxy_Watch7!$F$16:$F$28))</f>
        <v>7607.2307692307695</v>
      </c>
      <c r="I21" s="1">
        <f>IF(G21=0,"",MEDIAN(Galaxy_Watch7!$F$16:$F$28))</f>
        <v>7990</v>
      </c>
      <c r="J21" s="1">
        <f>IF(G21&lt;2,"",STDEV(Galaxy_Watch7!$F$16:$F$28))</f>
        <v>5820.3130808380365</v>
      </c>
      <c r="K21" s="2">
        <f>IF(OR(G21&lt;2,H21=0),"",J21/H21*100)</f>
        <v>76.510273677770613</v>
      </c>
      <c r="L21" s="1">
        <f>IF(G21=0,"",MIN(Galaxy_Watch7!$F$16:$F$28))</f>
        <v>429</v>
      </c>
      <c r="M21" s="1">
        <f>IF(G21=0,"",QUARTILE(Galaxy_Watch7!$F$16:$F$28,1))</f>
        <v>1624</v>
      </c>
      <c r="N21" s="1">
        <f>IF(G21=0,"",QUARTILE(Galaxy_Watch7!$F$16:$F$28,3))</f>
        <v>10659</v>
      </c>
      <c r="O21" s="1">
        <f>IF(G21=0,"",MAX(Galaxy_Watch7!$F$16:$F$28))</f>
        <v>20995</v>
      </c>
      <c r="P21">
        <f>COUNT(Galaxy_Watch7!$G$16:$G$28)</f>
        <v>12</v>
      </c>
      <c r="Q21" s="2">
        <f>IF(P21=0,"",AVERAGE(Galaxy_Watch7!$G$16:$G$28))</f>
        <v>4.8166666666666664</v>
      </c>
      <c r="R21" s="2">
        <f>IF(P21=0,"",MEDIAN(Galaxy_Watch7!$G$16:$G$28))</f>
        <v>4.9000000000000004</v>
      </c>
      <c r="S21" s="2">
        <f>IF(P21&lt;2,"",STDEV(Galaxy_Watch7!$G$16:$G$28))</f>
        <v>0.30698929011029724</v>
      </c>
      <c r="T21" s="2">
        <f t="shared" si="3"/>
        <v>6.3734800714940603</v>
      </c>
      <c r="U21" s="2">
        <f>IF(P21=0,"",MIN(Galaxy_Watch7!$G$16:$G$28))</f>
        <v>4</v>
      </c>
      <c r="V21" s="2">
        <f>IF(P21=0,"",QUARTILE(Galaxy_Watch7!$G$16:$G$28,1))</f>
        <v>4.875</v>
      </c>
      <c r="W21" s="2">
        <f>IF(P21=0,"",QUARTILE(Galaxy_Watch7!$G$16:$G$28,3))</f>
        <v>5</v>
      </c>
      <c r="X21" s="2">
        <f>IF(P21=0,"",MAX(Galaxy_Watch7!$G$16:$G$28))</f>
        <v>5</v>
      </c>
    </row>
    <row r="22" spans="2:24">
      <c r="B22" t="s">
        <v>41</v>
      </c>
      <c r="C22" t="s">
        <v>29</v>
      </c>
      <c r="D22" t="s">
        <v>28</v>
      </c>
      <c r="E22" t="s">
        <v>32</v>
      </c>
      <c r="F22" t="s">
        <v>42</v>
      </c>
      <c r="G22">
        <f>COUNT(Huawei_GT4!$F$3:$F$6)</f>
        <v>4</v>
      </c>
      <c r="H22" s="1">
        <f>IF(G22=0,"",AVERAGE(Huawei_GT4!$F$3:$F$6))</f>
        <v>5490</v>
      </c>
      <c r="I22" s="1">
        <f>IF(G22=0,"",MEDIAN(Huawei_GT4!$F$3:$F$6))</f>
        <v>3990</v>
      </c>
      <c r="J22" s="1">
        <f>IF(G22&lt;2,"",STDEV(Huawei_GT4!$F$3:$F$6))</f>
        <v>3000</v>
      </c>
      <c r="K22" s="2">
        <f t="shared" si="2"/>
        <v>54.644808743169406</v>
      </c>
      <c r="L22" s="1">
        <f>IF(G22=0,"",MIN(Huawei_GT4!$F$3:$F$6))</f>
        <v>3990</v>
      </c>
      <c r="M22" s="1">
        <f>IF(G22=0,"",QUARTILE(Huawei_GT4!$F$3:$F$6,1))</f>
        <v>3990</v>
      </c>
      <c r="N22" s="1">
        <f>IF(G22=0,"",QUARTILE(Huawei_GT4!$F$3:$F$6,3))</f>
        <v>5490</v>
      </c>
      <c r="O22" s="1">
        <f>IF(G22=0,"",MAX(Huawei_GT4!$F$3:$F$6))</f>
        <v>9990</v>
      </c>
      <c r="P22">
        <f>COUNT(Huawei_GT4!$G$3:$G$6)</f>
        <v>1</v>
      </c>
      <c r="Q22" s="2">
        <f>IF(P22=0,"",AVERAGE(Huawei_GT4!$G$3:$G$6))</f>
        <v>5</v>
      </c>
      <c r="R22" s="2">
        <f>IF(P22=0,"",MEDIAN(Huawei_GT4!$G$3:$G$6))</f>
        <v>5</v>
      </c>
      <c r="S22" s="2" t="str">
        <f>IF(P22&lt;2,"",STDEV(Huawei_GT4!$G$3:$G$6))</f>
        <v/>
      </c>
      <c r="T22" s="2" t="str">
        <f t="shared" si="3"/>
        <v/>
      </c>
      <c r="U22" s="2">
        <f>IF(P22=0,"",MIN(Huawei_GT4!$G$3:$G$6))</f>
        <v>5</v>
      </c>
      <c r="V22" s="2">
        <f>IF(P22=0,"",QUARTILE(Huawei_GT4!$G$3:$G$6,1))</f>
        <v>5</v>
      </c>
      <c r="W22" s="2">
        <f>IF(P22=0,"",QUARTILE(Huawei_GT4!$G$3:$G$6,3))</f>
        <v>5</v>
      </c>
      <c r="X22" s="2">
        <f>IF(P22=0,"",MAX(Huawei_GT4!$G$3:$G$6))</f>
        <v>5</v>
      </c>
    </row>
    <row r="23" spans="2:24">
      <c r="B23" t="s">
        <v>41</v>
      </c>
      <c r="C23" t="s">
        <v>29</v>
      </c>
      <c r="D23" t="s">
        <v>28</v>
      </c>
      <c r="E23" t="s">
        <v>32</v>
      </c>
      <c r="F23" t="s">
        <v>43</v>
      </c>
      <c r="G23">
        <f>COUNT(Huawei_GT4!$F$7:$F$8)</f>
        <v>2</v>
      </c>
      <c r="H23" s="1">
        <f>IF(G23=0,"",AVERAGE(Huawei_GT4!$F$7:$F$8))</f>
        <v>5095</v>
      </c>
      <c r="I23" s="1">
        <f>IF(G23=0,"",MEDIAN(Huawei_GT4!$F$7:$F$8))</f>
        <v>5095</v>
      </c>
      <c r="J23" s="1">
        <f>IF(G23&lt;2,"",STDEV(Huawei_GT4!$F$7:$F$8))</f>
        <v>1986.9700551341984</v>
      </c>
      <c r="K23" s="2">
        <f t="shared" si="2"/>
        <v>38.99843091529339</v>
      </c>
      <c r="L23" s="1">
        <f>IF(G23=0,"",MIN(Huawei_GT4!$F$7:$F$8))</f>
        <v>3690</v>
      </c>
      <c r="M23" s="1">
        <f>IF(G23=0,"",QUARTILE(Huawei_GT4!$F$7:$F$8,1))</f>
        <v>4392.5</v>
      </c>
      <c r="N23" s="1">
        <f>IF(G23=0,"",QUARTILE(Huawei_GT4!$F$7:$F$8,3))</f>
        <v>5797.5</v>
      </c>
      <c r="O23" s="1">
        <f>IF(G23=0,"",MAX(Huawei_GT4!$F$7:$F$8))</f>
        <v>6500</v>
      </c>
      <c r="P23">
        <f>COUNT(Huawei_GT4!$G$7:$G$8)</f>
        <v>2</v>
      </c>
      <c r="Q23" s="2">
        <f>IF(P23=0,"",AVERAGE(Huawei_GT4!$G$7:$G$8))</f>
        <v>4.95</v>
      </c>
      <c r="R23" s="2">
        <f>IF(P23=0,"",MEDIAN(Huawei_GT4!$G$7:$G$8))</f>
        <v>4.95</v>
      </c>
      <c r="S23" s="2">
        <f>IF(P23&lt;2,"",STDEV(Huawei_GT4!$G$7:$G$8))</f>
        <v>7.0710678118654502E-2</v>
      </c>
      <c r="T23" s="2">
        <f t="shared" si="3"/>
        <v>1.4284985478516061</v>
      </c>
      <c r="U23" s="2">
        <f>IF(P23=0,"",MIN(Huawei_GT4!$G$7:$G$8))</f>
        <v>4.9000000000000004</v>
      </c>
      <c r="V23" s="2">
        <f>IF(P23=0,"",QUARTILE(Huawei_GT4!$G$7:$G$8,1))</f>
        <v>4.9250000000000007</v>
      </c>
      <c r="W23" s="2">
        <f>IF(P23=0,"",QUARTILE(Huawei_GT4!$G$7:$G$8,3))</f>
        <v>4.9749999999999996</v>
      </c>
      <c r="X23" s="2">
        <f>IF(P23=0,"",MAX(Huawei_GT4!$G$7:$G$8))</f>
        <v>5</v>
      </c>
    </row>
    <row r="24" spans="2:24">
      <c r="B24" t="s">
        <v>41</v>
      </c>
      <c r="C24" t="s">
        <v>33</v>
      </c>
      <c r="D24" t="s">
        <v>26</v>
      </c>
      <c r="E24" t="s">
        <v>34</v>
      </c>
      <c r="F24" t="s">
        <v>42</v>
      </c>
      <c r="G24">
        <f>COUNT(Apple_S10!$F$3:$F$3)</f>
        <v>1</v>
      </c>
      <c r="H24" s="1">
        <f>IF(G24=0,"",AVERAGE(Apple_S10!$F$3:$F$3))</f>
        <v>15900</v>
      </c>
      <c r="I24" s="1">
        <f>IF(G24=0,"",MEDIAN(Apple_S10!$F$3:$F$3))</f>
        <v>15900</v>
      </c>
      <c r="J24" s="1" t="str">
        <f>IF(G24&lt;2,"",STDEV(Apple_S10!$F$3:$F$3))</f>
        <v/>
      </c>
      <c r="K24" s="2" t="str">
        <f t="shared" si="2"/>
        <v/>
      </c>
      <c r="L24" s="1">
        <f>IF(G24=0,"",MIN(Apple_S10!$F$3:$F$3))</f>
        <v>15900</v>
      </c>
      <c r="M24" s="1">
        <f>IF(G24=0,"",QUARTILE(Apple_S10!$F$3:$F$3,1))</f>
        <v>15900</v>
      </c>
      <c r="N24" s="1">
        <f>IF(G24=0,"",QUARTILE(Apple_S10!$F$3:$F$3,3))</f>
        <v>15900</v>
      </c>
      <c r="O24" s="1">
        <f>IF(G24=0,"",MAX(Apple_S10!$F$3:$F$3))</f>
        <v>15900</v>
      </c>
      <c r="P24">
        <f>COUNT(Apple_S10!$G$3:$G$3)</f>
        <v>1</v>
      </c>
      <c r="Q24" s="2">
        <f>IF(P24=0,"",AVERAGE(Apple_S10!$G$3:$G$3))</f>
        <v>5</v>
      </c>
      <c r="R24" s="2">
        <f>IF(P24=0,"",MEDIAN(Apple_S10!$G$3:$G$3))</f>
        <v>5</v>
      </c>
      <c r="S24" s="2" t="str">
        <f>IF(P24&lt;2,"",STDEV(Apple_S10!$G$3:$G$3))</f>
        <v/>
      </c>
      <c r="T24" s="2" t="str">
        <f t="shared" si="3"/>
        <v/>
      </c>
      <c r="U24" s="2">
        <f>IF(P24=0,"",MIN(Apple_S10!$G$3:$G$3))</f>
        <v>5</v>
      </c>
      <c r="V24" s="2">
        <f>IF(P24=0,"",QUARTILE(Apple_S10!$G$3:$G$3,1))</f>
        <v>5</v>
      </c>
      <c r="W24" s="2">
        <f>IF(P24=0,"",QUARTILE(Apple_S10!$G$3:$G$3,3))</f>
        <v>5</v>
      </c>
      <c r="X24" s="2">
        <f>IF(P24=0,"",MAX(Apple_S10!$G$3:$G$3))</f>
        <v>5</v>
      </c>
    </row>
    <row r="25" spans="2:24">
      <c r="B25" t="s">
        <v>41</v>
      </c>
      <c r="C25" t="s">
        <v>33</v>
      </c>
      <c r="D25" t="s">
        <v>26</v>
      </c>
      <c r="E25" t="s">
        <v>34</v>
      </c>
      <c r="F25" t="s">
        <v>43</v>
      </c>
      <c r="G25">
        <f>COUNT(Apple_S10!$F$4:$F$5)</f>
        <v>2</v>
      </c>
      <c r="H25" s="1">
        <f>IF(G25=0,"",AVERAGE(Apple_S10!$F$4:$F$5))</f>
        <v>22665</v>
      </c>
      <c r="I25" s="1">
        <f>IF(G25=0,"",MEDIAN(Apple_S10!$F$4:$F$5))</f>
        <v>22665</v>
      </c>
      <c r="J25" s="1">
        <f>IF(G25&lt;2,"",STDEV(Apple_S10!$F$4:$F$5))</f>
        <v>6413.4585053619858</v>
      </c>
      <c r="K25" s="2">
        <f t="shared" si="2"/>
        <v>28.296750520017582</v>
      </c>
      <c r="L25" s="1">
        <f>IF(G25=0,"",MIN(Apple_S10!$F$4:$F$5))</f>
        <v>18130</v>
      </c>
      <c r="M25" s="1">
        <f>IF(G25=0,"",QUARTILE(Apple_S10!$F$4:$F$5,1))</f>
        <v>20397.5</v>
      </c>
      <c r="N25" s="1">
        <f>IF(G25=0,"",QUARTILE(Apple_S10!$F$4:$F$5,3))</f>
        <v>24932.5</v>
      </c>
      <c r="O25" s="1">
        <f>IF(G25=0,"",MAX(Apple_S10!$F$4:$F$5))</f>
        <v>27200</v>
      </c>
      <c r="P25">
        <f>COUNT(Apple_S10!$G$4:$G$5)</f>
        <v>2</v>
      </c>
      <c r="Q25" s="2">
        <f>IF(P25=0,"",AVERAGE(Apple_S10!$G$4:$G$5))</f>
        <v>4.9000000000000004</v>
      </c>
      <c r="R25" s="2">
        <f>IF(P25=0,"",MEDIAN(Apple_S10!$G$4:$G$5))</f>
        <v>4.9000000000000004</v>
      </c>
      <c r="S25" s="2">
        <f>IF(P25&lt;2,"",STDEV(Apple_S10!$G$4:$G$5))</f>
        <v>0.14142135623730964</v>
      </c>
      <c r="T25" s="2">
        <f t="shared" si="3"/>
        <v>2.8861501272920331</v>
      </c>
      <c r="U25" s="2">
        <f>IF(P25=0,"",MIN(Apple_S10!$G$4:$G$5))</f>
        <v>4.8</v>
      </c>
      <c r="V25" s="2">
        <f>IF(P25=0,"",QUARTILE(Apple_S10!$G$4:$G$5,1))</f>
        <v>4.8499999999999996</v>
      </c>
      <c r="W25" s="2">
        <f>IF(P25=0,"",QUARTILE(Apple_S10!$G$4:$G$5,3))</f>
        <v>4.95</v>
      </c>
      <c r="X25" s="2">
        <f>IF(P25=0,"",MAX(Apple_S10!$G$4:$G$5))</f>
        <v>5</v>
      </c>
    </row>
    <row r="26" spans="2:24">
      <c r="B26" t="s">
        <v>41</v>
      </c>
      <c r="C26" t="s">
        <v>33</v>
      </c>
      <c r="D26" t="s">
        <v>27</v>
      </c>
      <c r="E26" t="s">
        <v>35</v>
      </c>
      <c r="F26" t="s">
        <v>42</v>
      </c>
      <c r="G26">
        <f>COUNT(Galaxy_Watch8!$F$3:$F$25)</f>
        <v>23</v>
      </c>
      <c r="H26" s="1">
        <f>IF(G26=0,"",AVERAGE(Galaxy_Watch8!$F$3:$F$25))</f>
        <v>9707.1247826086947</v>
      </c>
      <c r="I26" s="1">
        <f>IF(G26=0,"",MEDIAN(Galaxy_Watch8!$F$3:$F$25))</f>
        <v>10000</v>
      </c>
      <c r="J26" s="1">
        <f>IF(G26&lt;2,"",STDEV(Galaxy_Watch8!$F$3:$F$25))</f>
        <v>3271.3554168846626</v>
      </c>
      <c r="K26" s="2">
        <f t="shared" si="2"/>
        <v>33.700560054050506</v>
      </c>
      <c r="L26" s="1">
        <f>IF(G26=0,"",MIN(Galaxy_Watch8!$F$3:$F$25))</f>
        <v>5120</v>
      </c>
      <c r="M26" s="1">
        <f>IF(G26=0,"",QUARTILE(Galaxy_Watch8!$F$3:$F$25,1))</f>
        <v>6633.4349999999995</v>
      </c>
      <c r="N26" s="1">
        <f>IF(G26=0,"",QUARTILE(Galaxy_Watch8!$F$3:$F$25,3))</f>
        <v>12307</v>
      </c>
      <c r="O26" s="1">
        <f>IF(G26=0,"",MAX(Galaxy_Watch8!$F$3:$F$25))</f>
        <v>15619</v>
      </c>
      <c r="P26">
        <f>COUNT(Galaxy_Watch8!$G$3:$G$25)</f>
        <v>10</v>
      </c>
      <c r="Q26" s="2">
        <f>IF(P26=0,"",AVERAGE(Galaxy_Watch8!$G$3:$G$25))</f>
        <v>4.57</v>
      </c>
      <c r="R26" s="2">
        <f>IF(P26=0,"",MEDIAN(Galaxy_Watch8!$G$3:$G$25))</f>
        <v>5</v>
      </c>
      <c r="S26" s="2">
        <f>IF(P26&lt;2,"",STDEV(Galaxy_Watch8!$G$3:$G$25))</f>
        <v>1.2579083167438443</v>
      </c>
      <c r="T26" s="2">
        <f t="shared" si="3"/>
        <v>27.525346099427662</v>
      </c>
      <c r="U26" s="2">
        <f>IF(P26=0,"",MIN(Galaxy_Watch8!$G$3:$G$25))</f>
        <v>1</v>
      </c>
      <c r="V26" s="2">
        <f>IF(P26=0,"",QUARTILE(Galaxy_Watch8!$G$3:$G$25,1))</f>
        <v>5</v>
      </c>
      <c r="W26" s="2">
        <f>IF(P26=0,"",QUARTILE(Galaxy_Watch8!$G$3:$G$25,3))</f>
        <v>5</v>
      </c>
      <c r="X26" s="2">
        <f>IF(P26=0,"",MAX(Galaxy_Watch8!$G$3:$G$25))</f>
        <v>5</v>
      </c>
    </row>
    <row r="27" spans="2:24">
      <c r="B27" t="s">
        <v>41</v>
      </c>
      <c r="C27" t="s">
        <v>33</v>
      </c>
      <c r="D27" t="s">
        <v>27</v>
      </c>
      <c r="E27" t="s">
        <v>35</v>
      </c>
      <c r="F27" t="s">
        <v>43</v>
      </c>
      <c r="G27">
        <f>COUNT(Galaxy_Watch8!$F$26:$F$40)</f>
        <v>15</v>
      </c>
      <c r="H27" s="1">
        <f>IF(G27=0,"",AVERAGE(Galaxy_Watch8!$F$26:$F$40))</f>
        <v>11221.533333333333</v>
      </c>
      <c r="I27" s="1">
        <f>IF(G27=0,"",MEDIAN(Galaxy_Watch8!$F$26:$F$40))</f>
        <v>10590</v>
      </c>
      <c r="J27" s="1">
        <f>IF(G27&lt;2,"",STDEV(Galaxy_Watch8!$F$26:$F$40))</f>
        <v>3325.2552612364893</v>
      </c>
      <c r="K27" s="2">
        <f t="shared" si="2"/>
        <v>29.632806519933307</v>
      </c>
      <c r="L27" s="1">
        <f>IF(G27=0,"",MIN(Galaxy_Watch8!$F$26:$F$40))</f>
        <v>6980</v>
      </c>
      <c r="M27" s="1">
        <f>IF(G27=0,"",QUARTILE(Galaxy_Watch8!$F$26:$F$40,1))</f>
        <v>8590</v>
      </c>
      <c r="N27" s="1">
        <f>IF(G27=0,"",QUARTILE(Galaxy_Watch8!$F$26:$F$40,3))</f>
        <v>14039</v>
      </c>
      <c r="O27" s="1">
        <f>IF(G27=0,"",MAX(Galaxy_Watch8!$F$26:$F$40))</f>
        <v>16703</v>
      </c>
      <c r="P27">
        <f>COUNT(Galaxy_Watch8!$G$26:$G$40)</f>
        <v>14</v>
      </c>
      <c r="Q27" s="2">
        <f>IF(P27=0,"",AVERAGE(Galaxy_Watch8!$G$26:$G$40))</f>
        <v>4.9857142857142858</v>
      </c>
      <c r="R27" s="2">
        <f>IF(P27=0,"",MEDIAN(Galaxy_Watch8!$G$26:$G$40))</f>
        <v>5</v>
      </c>
      <c r="S27" s="2">
        <f>IF(P27&lt;2,"",STDEV(Galaxy_Watch8!$G$26:$G$40))</f>
        <v>3.6313651960128021E-2</v>
      </c>
      <c r="T27" s="2">
        <f t="shared" si="3"/>
        <v>0.72835405077620674</v>
      </c>
      <c r="U27" s="2">
        <f>IF(P27=0,"",MIN(Galaxy_Watch8!$G$26:$G$40))</f>
        <v>4.9000000000000004</v>
      </c>
      <c r="V27" s="2">
        <f>IF(P27=0,"",QUARTILE(Galaxy_Watch8!$G$26:$G$40,1))</f>
        <v>5</v>
      </c>
      <c r="W27" s="2">
        <f>IF(P27=0,"",QUARTILE(Galaxy_Watch8!$G$26:$G$40,3))</f>
        <v>5</v>
      </c>
      <c r="X27" s="2">
        <f>IF(P27=0,"",MAX(Galaxy_Watch8!$G$26:$G$40))</f>
        <v>5</v>
      </c>
    </row>
    <row r="28" spans="2:24">
      <c r="B28" t="s">
        <v>41</v>
      </c>
      <c r="C28" t="s">
        <v>33</v>
      </c>
      <c r="D28" t="s">
        <v>28</v>
      </c>
      <c r="E28" t="s">
        <v>36</v>
      </c>
      <c r="F28" t="s">
        <v>42</v>
      </c>
      <c r="G28">
        <f>COUNT(Huawei_GT5!$F$3:$F$4)</f>
        <v>2</v>
      </c>
      <c r="H28" s="1">
        <f>IF(G28=0,"",AVERAGE(Huawei_GT5!$F$3:$F$4))</f>
        <v>12985.35</v>
      </c>
      <c r="I28" s="1">
        <f>IF(G28=0,"",MEDIAN(Huawei_GT5!$F$3:$F$4))</f>
        <v>12985.35</v>
      </c>
      <c r="J28" s="1">
        <f>IF(G28&lt;2,"",STDEV(Huawei_GT5!$F$3:$F$4))</f>
        <v>11307.132405919725</v>
      </c>
      <c r="K28" s="2">
        <f t="shared" si="2"/>
        <v>87.076069616296252</v>
      </c>
      <c r="L28" s="1">
        <f>IF(G28=0,"",MIN(Huawei_GT5!$F$3:$F$4))</f>
        <v>4990</v>
      </c>
      <c r="M28" s="1">
        <f>IF(G28=0,"",QUARTILE(Huawei_GT5!$F$3:$F$4,1))</f>
        <v>8987.6749999999993</v>
      </c>
      <c r="N28" s="1">
        <f>IF(G28=0,"",QUARTILE(Huawei_GT5!$F$3:$F$4,3))</f>
        <v>16983.025000000001</v>
      </c>
      <c r="O28" s="1">
        <f>IF(G28=0,"",MAX(Huawei_GT5!$F$3:$F$4))</f>
        <v>20980.7</v>
      </c>
      <c r="P28">
        <f>COUNT(Huawei_GT5!$G$3:$G$4)</f>
        <v>1</v>
      </c>
      <c r="Q28" s="2">
        <f>IF(P28=0,"",AVERAGE(Huawei_GT5!$G$3:$G$4))</f>
        <v>5</v>
      </c>
      <c r="R28" s="2">
        <f>IF(P28=0,"",MEDIAN(Huawei_GT5!$G$3:$G$4))</f>
        <v>5</v>
      </c>
      <c r="S28" s="2" t="str">
        <f>IF(P28&lt;2,"",STDEV(Huawei_GT5!$G$3:$G$4))</f>
        <v/>
      </c>
      <c r="T28" s="2" t="str">
        <f t="shared" si="3"/>
        <v/>
      </c>
      <c r="U28" s="2">
        <f>IF(P28=0,"",MIN(Huawei_GT5!$G$3:$G$4))</f>
        <v>5</v>
      </c>
      <c r="V28" s="2">
        <f>IF(P28=0,"",QUARTILE(Huawei_GT5!$G$3:$G$4,1))</f>
        <v>5</v>
      </c>
      <c r="W28" s="2">
        <f>IF(P28=0,"",QUARTILE(Huawei_GT5!$G$3:$G$4,3))</f>
        <v>5</v>
      </c>
      <c r="X28" s="2">
        <f>IF(P28=0,"",MAX(Huawei_GT5!$G$3:$G$4))</f>
        <v>5</v>
      </c>
    </row>
    <row r="29" spans="2:24">
      <c r="B29" t="s">
        <v>41</v>
      </c>
      <c r="C29" t="s">
        <v>33</v>
      </c>
      <c r="D29" t="s">
        <v>28</v>
      </c>
      <c r="E29" t="s">
        <v>36</v>
      </c>
      <c r="F29" t="s">
        <v>43</v>
      </c>
      <c r="G29">
        <f>COUNT(Huawei_GT5!$F$5:$F$7)</f>
        <v>3</v>
      </c>
      <c r="H29" s="1">
        <f>IF(G29=0,"",AVERAGE(Huawei_GT5!$F$5:$F$7))</f>
        <v>4686.666666666667</v>
      </c>
      <c r="I29" s="1">
        <f>IF(G29=0,"",MEDIAN(Huawei_GT5!$F$5:$F$7))</f>
        <v>4990</v>
      </c>
      <c r="J29" s="1">
        <f>IF(G29&lt;2,"",STDEV(Huawei_GT5!$F$5:$F$7))</f>
        <v>525.38874496255937</v>
      </c>
      <c r="K29" s="2">
        <f t="shared" si="2"/>
        <v>11.210286165630713</v>
      </c>
      <c r="L29" s="1">
        <f>IF(G29=0,"",MIN(Huawei_GT5!$F$5:$F$7))</f>
        <v>4080</v>
      </c>
      <c r="M29" s="1">
        <f>IF(G29=0,"",QUARTILE(Huawei_GT5!$F$5:$F$7,1))</f>
        <v>4535</v>
      </c>
      <c r="N29" s="1">
        <f>IF(G29=0,"",QUARTILE(Huawei_GT5!$F$5:$F$7,3))</f>
        <v>4990</v>
      </c>
      <c r="O29" s="1">
        <f>IF(G29=0,"",MAX(Huawei_GT5!$F$5:$F$7))</f>
        <v>4990</v>
      </c>
      <c r="P29">
        <f>COUNT(Huawei_GT5!$G$5:$G$7)</f>
        <v>3</v>
      </c>
      <c r="Q29" s="2">
        <f>IF(P29=0,"",AVERAGE(Huawei_GT5!$G$5:$G$7))</f>
        <v>4.9666666666666668</v>
      </c>
      <c r="R29" s="2">
        <f>IF(P29=0,"",MEDIAN(Huawei_GT5!$G$5:$G$7))</f>
        <v>5</v>
      </c>
      <c r="S29" s="2">
        <f>IF(P29&lt;2,"",STDEV(Huawei_GT5!$G$5:$G$7))</f>
        <v>5.7735026918962373E-2</v>
      </c>
      <c r="T29" s="2">
        <f t="shared" si="3"/>
        <v>1.1624502064220612</v>
      </c>
      <c r="U29" s="2">
        <f>IF(P29=0,"",MIN(Huawei_GT5!$G$5:$G$7))</f>
        <v>4.9000000000000004</v>
      </c>
      <c r="V29" s="2">
        <f>IF(P29=0,"",QUARTILE(Huawei_GT5!$G$5:$G$7,1))</f>
        <v>4.95</v>
      </c>
      <c r="W29" s="2">
        <f>IF(P29=0,"",QUARTILE(Huawei_GT5!$G$5:$G$7,3))</f>
        <v>5</v>
      </c>
      <c r="X29" s="2">
        <f>IF(P29=0,"",MAX(Huawei_GT5!$G$5:$G$7))</f>
        <v>5</v>
      </c>
    </row>
    <row r="30" spans="2:24">
      <c r="B30" s="8" t="s">
        <v>41</v>
      </c>
      <c r="C30" s="8" t="s">
        <v>37</v>
      </c>
      <c r="D30" s="8" t="s">
        <v>26</v>
      </c>
      <c r="E30" s="8" t="s">
        <v>38</v>
      </c>
      <c r="F30" s="8" t="s">
        <v>42</v>
      </c>
      <c r="G30" s="8">
        <f>0</f>
        <v>0</v>
      </c>
      <c r="H30" s="9"/>
      <c r="I30" s="9"/>
      <c r="J30" s="9"/>
      <c r="K30" s="10"/>
      <c r="L30" s="9"/>
      <c r="M30" s="9"/>
      <c r="N30" s="9"/>
      <c r="O30" s="9"/>
      <c r="P30" s="8">
        <f>0</f>
        <v>0</v>
      </c>
      <c r="Q30" s="10"/>
      <c r="R30" s="10"/>
      <c r="S30" s="10"/>
      <c r="T30" s="10"/>
      <c r="U30" s="10"/>
      <c r="V30" s="10"/>
      <c r="W30" s="10"/>
      <c r="X30" s="10"/>
    </row>
    <row r="31" spans="2:24">
      <c r="B31" s="8" t="s">
        <v>41</v>
      </c>
      <c r="C31" s="8" t="s">
        <v>37</v>
      </c>
      <c r="D31" s="8" t="s">
        <v>26</v>
      </c>
      <c r="E31" s="8" t="s">
        <v>38</v>
      </c>
      <c r="F31" s="8" t="s">
        <v>43</v>
      </c>
      <c r="G31" s="8">
        <f>0</f>
        <v>0</v>
      </c>
      <c r="H31" s="9"/>
      <c r="I31" s="9"/>
      <c r="J31" s="9"/>
      <c r="K31" s="10"/>
      <c r="L31" s="9"/>
      <c r="M31" s="9"/>
      <c r="N31" s="9"/>
      <c r="O31" s="9"/>
      <c r="P31" s="8">
        <f>0</f>
        <v>0</v>
      </c>
      <c r="Q31" s="10"/>
      <c r="R31" s="10"/>
      <c r="S31" s="10"/>
      <c r="T31" s="10"/>
      <c r="U31" s="10"/>
      <c r="V31" s="10"/>
      <c r="W31" s="10"/>
      <c r="X31" s="10"/>
    </row>
    <row r="32" spans="2:24">
      <c r="B32" t="s">
        <v>41</v>
      </c>
      <c r="C32" t="s">
        <v>37</v>
      </c>
      <c r="D32" t="s">
        <v>27</v>
      </c>
      <c r="E32" t="s">
        <v>39</v>
      </c>
      <c r="F32" t="s">
        <v>42</v>
      </c>
      <c r="G32">
        <f>COUNT(Galaxy_Ultra!$F$3:$F$21)</f>
        <v>19</v>
      </c>
      <c r="H32" s="1">
        <f>IF(G32=0,"",AVERAGE(Galaxy_Ultra!$F$3:$F$21))</f>
        <v>18454.947368421053</v>
      </c>
      <c r="I32" s="1">
        <f>IF(G32=0,"",MEDIAN(Galaxy_Ultra!$F$3:$F$21))</f>
        <v>17990</v>
      </c>
      <c r="J32" s="1">
        <f>IF(G32&lt;2,"",STDEV(Galaxy_Ultra!$F$3:$F$21))</f>
        <v>6794.1033295521484</v>
      </c>
      <c r="K32" s="2">
        <f>IF(OR(G32&lt;2,H32=0),"",J32/H32*100)</f>
        <v>36.814536470463146</v>
      </c>
      <c r="L32" s="1">
        <f>IF(G32=0,"",MIN(Galaxy_Ultra!$F$3:$F$21))</f>
        <v>6500</v>
      </c>
      <c r="M32" s="1">
        <f>IF(G32=0,"",QUARTILE(Galaxy_Ultra!$F$3:$F$21,1))</f>
        <v>13935</v>
      </c>
      <c r="N32" s="1">
        <f>IF(G32=0,"",QUARTILE(Galaxy_Ultra!$F$3:$F$21,3))</f>
        <v>23370</v>
      </c>
      <c r="O32" s="1">
        <f>IF(G32=0,"",MAX(Galaxy_Ultra!$F$3:$F$21))</f>
        <v>29950</v>
      </c>
      <c r="P32">
        <f>COUNT(Galaxy_Ultra!$G$3:$G$21)</f>
        <v>7</v>
      </c>
      <c r="Q32" s="2">
        <f>IF(P32=0,"",AVERAGE(Galaxy_Ultra!$G$3:$G$21))</f>
        <v>4.6428571428571432</v>
      </c>
      <c r="R32" s="2">
        <f>IF(P32=0,"",MEDIAN(Galaxy_Ultra!$G$3:$G$21))</f>
        <v>5</v>
      </c>
      <c r="S32" s="2">
        <f>IF(P32&lt;2,"",STDEV(Galaxy_Ultra!$G$3:$G$21))</f>
        <v>0.73904700539984569</v>
      </c>
      <c r="T32" s="2">
        <f>IF(OR(P32&lt;2,Q32=0),"",S32/Q32*100)</f>
        <v>15.917935500919752</v>
      </c>
      <c r="U32" s="2">
        <f>IF(P32=0,"",MIN(Galaxy_Ultra!$G$3:$G$21))</f>
        <v>3</v>
      </c>
      <c r="V32" s="2">
        <f>IF(P32=0,"",QUARTILE(Galaxy_Ultra!$G$3:$G$21,1))</f>
        <v>4.75</v>
      </c>
      <c r="W32" s="2">
        <f>IF(P32=0,"",QUARTILE(Galaxy_Ultra!$G$3:$G$21,3))</f>
        <v>5</v>
      </c>
      <c r="X32" s="2">
        <f>IF(P32=0,"",MAX(Galaxy_Ultra!$G$3:$G$21))</f>
        <v>5</v>
      </c>
    </row>
    <row r="33" spans="2:24">
      <c r="B33" t="s">
        <v>41</v>
      </c>
      <c r="C33" t="s">
        <v>37</v>
      </c>
      <c r="D33" t="s">
        <v>27</v>
      </c>
      <c r="E33" t="s">
        <v>39</v>
      </c>
      <c r="F33" t="s">
        <v>43</v>
      </c>
      <c r="G33">
        <f>COUNT(Galaxy_Ultra!$F$22:$F$34)</f>
        <v>13</v>
      </c>
      <c r="H33" s="1">
        <f>IF(G33=0,"",AVERAGE(Galaxy_Ultra!$F$22:$F$34))</f>
        <v>19796.923076923078</v>
      </c>
      <c r="I33" s="1">
        <f>IF(G33=0,"",MEDIAN(Galaxy_Ultra!$F$22:$F$34))</f>
        <v>17490</v>
      </c>
      <c r="J33" s="1">
        <f>IF(G33&lt;2,"",STDEV(Galaxy_Ultra!$F$22:$F$34))</f>
        <v>6957.5285537986156</v>
      </c>
      <c r="K33" s="2">
        <f>IF(OR(G33&lt;2,H33=0),"",J33/H33*100)</f>
        <v>35.14449455990907</v>
      </c>
      <c r="L33" s="1">
        <f>IF(G33=0,"",MIN(Galaxy_Ultra!$F$22:$F$34))</f>
        <v>12990</v>
      </c>
      <c r="M33" s="1">
        <f>IF(G33=0,"",QUARTILE(Galaxy_Ultra!$F$22:$F$34,1))</f>
        <v>14405</v>
      </c>
      <c r="N33" s="1">
        <f>IF(G33=0,"",QUARTILE(Galaxy_Ultra!$F$22:$F$34,3))</f>
        <v>19920</v>
      </c>
      <c r="O33" s="1">
        <f>IF(G33=0,"",MAX(Galaxy_Ultra!$F$22:$F$34))</f>
        <v>34055</v>
      </c>
      <c r="P33">
        <f>COUNT(Galaxy_Ultra!$G$22:$G$34)</f>
        <v>13</v>
      </c>
      <c r="Q33" s="2">
        <f>IF(P33=0,"",AVERAGE(Galaxy_Ultra!$G$22:$G$34))</f>
        <v>4.8923076923076927</v>
      </c>
      <c r="R33" s="2">
        <f>IF(P33=0,"",MEDIAN(Galaxy_Ultra!$G$22:$G$34))</f>
        <v>5</v>
      </c>
      <c r="S33" s="2">
        <f>IF(P33&lt;2,"",STDEV(Galaxy_Ultra!$G$22:$G$34))</f>
        <v>0.27221786146864813</v>
      </c>
      <c r="T33" s="2">
        <f>IF(OR(P33&lt;2,Q33=0),"",S33/Q33*100)</f>
        <v>5.5642015709000399</v>
      </c>
      <c r="U33" s="2">
        <f>IF(P33=0,"",MIN(Galaxy_Ultra!$G$22:$G$34))</f>
        <v>4</v>
      </c>
      <c r="V33" s="2">
        <f>IF(P33=0,"",QUARTILE(Galaxy_Ultra!$G$22:$G$34,1))</f>
        <v>4.9000000000000004</v>
      </c>
      <c r="W33" s="2">
        <f>IF(P33=0,"",QUARTILE(Galaxy_Ultra!$G$22:$G$34,3))</f>
        <v>5</v>
      </c>
      <c r="X33" s="2">
        <f>IF(P33=0,"",MAX(Galaxy_Ultra!$G$22:$G$34))</f>
        <v>5</v>
      </c>
    </row>
    <row r="34" spans="2:24">
      <c r="B34" t="s">
        <v>41</v>
      </c>
      <c r="C34" t="s">
        <v>37</v>
      </c>
      <c r="D34" t="s">
        <v>28</v>
      </c>
      <c r="E34" t="s">
        <v>40</v>
      </c>
      <c r="F34" t="s">
        <v>42</v>
      </c>
      <c r="G34">
        <f>COUNT(Huawei_Ultimate!$F$3:$F$4)</f>
        <v>2</v>
      </c>
      <c r="H34" s="1">
        <f>IF(G34=0,"",AVERAGE(Huawei_Ultimate!$F$3:$F$4))</f>
        <v>19400</v>
      </c>
      <c r="I34" s="1">
        <f>IF(G34=0,"",MEDIAN(Huawei_Ultimate!$F$3:$F$4))</f>
        <v>19400</v>
      </c>
      <c r="J34" s="1">
        <f>IF(G34&lt;2,"",STDEV(Huawei_Ultimate!$F$3:$F$4))</f>
        <v>6363.9610306789273</v>
      </c>
      <c r="K34" s="2">
        <f>IF(OR(G34&lt;2,H34=0),"",J34/H34*100)</f>
        <v>32.803922838551166</v>
      </c>
      <c r="L34" s="1">
        <f>IF(G34=0,"",MIN(Huawei_Ultimate!$F$3:$F$4))</f>
        <v>14900</v>
      </c>
      <c r="M34" s="1">
        <f>IF(G34=0,"",QUARTILE(Huawei_Ultimate!$F$3:$F$4,1))</f>
        <v>17150</v>
      </c>
      <c r="N34" s="1">
        <f>IF(G34=0,"",QUARTILE(Huawei_Ultimate!$F$3:$F$4,3))</f>
        <v>21650</v>
      </c>
      <c r="O34" s="1">
        <f>IF(G34=0,"",MAX(Huawei_Ultimate!$F$3:$F$4))</f>
        <v>23900</v>
      </c>
      <c r="P34">
        <f>COUNT(Huawei_Ultimate!$G$3:$G$4)</f>
        <v>0</v>
      </c>
      <c r="Q34" s="2" t="str">
        <f>IF(P34=0,"",AVERAGE(Huawei_Ultimate!$G$3:$G$4))</f>
        <v/>
      </c>
      <c r="R34" s="2" t="str">
        <f>IF(P34=0,"",MEDIAN(Huawei_Ultimate!$G$3:$G$4))</f>
        <v/>
      </c>
      <c r="S34" s="2" t="str">
        <f>IF(P34&lt;2,"",STDEV(Huawei_Ultimate!$G$3:$G$4))</f>
        <v/>
      </c>
      <c r="T34" s="2" t="str">
        <f>IF(OR(P34&lt;2,Q34=0),"",S34/Q34*100)</f>
        <v/>
      </c>
      <c r="U34" s="2" t="str">
        <f>IF(P34=0,"",MIN(Huawei_Ultimate!$G$3:$G$4))</f>
        <v/>
      </c>
      <c r="V34" s="2" t="str">
        <f>IF(P34=0,"",QUARTILE(Huawei_Ultimate!$G$3:$G$4,1))</f>
        <v/>
      </c>
      <c r="W34" s="2" t="str">
        <f>IF(P34=0,"",QUARTILE(Huawei_Ultimate!$G$3:$G$4,3))</f>
        <v/>
      </c>
      <c r="X34" s="2" t="str">
        <f>IF(P34=0,"",MAX(Huawei_Ultimate!$G$3:$G$4))</f>
        <v/>
      </c>
    </row>
    <row r="35" spans="2:24">
      <c r="B35" t="s">
        <v>41</v>
      </c>
      <c r="C35" t="s">
        <v>37</v>
      </c>
      <c r="D35" t="s">
        <v>28</v>
      </c>
      <c r="E35" t="s">
        <v>40</v>
      </c>
      <c r="F35" t="s">
        <v>43</v>
      </c>
      <c r="G35">
        <f>COUNT(Huawei_Ultimate!$F$5:$F$6)</f>
        <v>2</v>
      </c>
      <c r="H35" s="1">
        <f>IF(G35=0,"",AVERAGE(Huawei_Ultimate!$F$5:$F$6))</f>
        <v>19900</v>
      </c>
      <c r="I35" s="1">
        <f>IF(G35=0,"",MEDIAN(Huawei_Ultimate!$F$5:$F$6))</f>
        <v>19900</v>
      </c>
      <c r="J35" s="1">
        <f>IF(G35&lt;2,"",STDEV(Huawei_Ultimate!$F$5:$F$6))</f>
        <v>0</v>
      </c>
      <c r="K35" s="2">
        <f>IF(OR(G35&lt;2,H35=0),"",J35/H35*100)</f>
        <v>0</v>
      </c>
      <c r="L35" s="1">
        <f>IF(G35=0,"",MIN(Huawei_Ultimate!$F$5:$F$6))</f>
        <v>19900</v>
      </c>
      <c r="M35" s="1">
        <f>IF(G35=0,"",QUARTILE(Huawei_Ultimate!$F$5:$F$6,1))</f>
        <v>19900</v>
      </c>
      <c r="N35" s="1">
        <f>IF(G35=0,"",QUARTILE(Huawei_Ultimate!$F$5:$F$6,3))</f>
        <v>19900</v>
      </c>
      <c r="O35" s="1">
        <f>IF(G35=0,"",MAX(Huawei_Ultimate!$F$5:$F$6))</f>
        <v>19900</v>
      </c>
      <c r="P35">
        <f>COUNT(Huawei_Ultimate!$G$5:$G$6)</f>
        <v>2</v>
      </c>
      <c r="Q35" s="2">
        <f>IF(P35=0,"",AVERAGE(Huawei_Ultimate!$G$5:$G$6))</f>
        <v>4.95</v>
      </c>
      <c r="R35" s="2">
        <f>IF(P35=0,"",MEDIAN(Huawei_Ultimate!$G$5:$G$6))</f>
        <v>4.95</v>
      </c>
      <c r="S35" s="2">
        <f>IF(P35&lt;2,"",STDEV(Huawei_Ultimate!$G$5:$G$6))</f>
        <v>7.0710678118654502E-2</v>
      </c>
      <c r="T35" s="2">
        <f>IF(OR(P35&lt;2,Q35=0),"",S35/Q35*100)</f>
        <v>1.4284985478516061</v>
      </c>
      <c r="U35" s="2">
        <f>IF(P35=0,"",MIN(Huawei_Ultimate!$G$5:$G$6))</f>
        <v>4.9000000000000004</v>
      </c>
      <c r="V35" s="2">
        <f>IF(P35=0,"",QUARTILE(Huawei_Ultimate!$G$5:$G$6,1))</f>
        <v>4.9250000000000007</v>
      </c>
      <c r="W35" s="2">
        <f>IF(P35=0,"",QUARTILE(Huawei_Ultimate!$G$5:$G$6,3))</f>
        <v>4.9749999999999996</v>
      </c>
      <c r="X35" s="2">
        <f>IF(P35=0,"",MAX(Huawei_Ultimate!$G$5:$G$6))</f>
        <v>5</v>
      </c>
    </row>
  </sheetData>
  <mergeCells count="2">
    <mergeCell ref="B1:X1"/>
    <mergeCell ref="B2:X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17"/>
  <sheetViews>
    <sheetView workbookViewId="0">
      <selection activeCell="C11" sqref="C11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 ht="38.4" customHeight="1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26</v>
      </c>
      <c r="C3" t="s">
        <v>34</v>
      </c>
      <c r="D3" t="s">
        <v>42</v>
      </c>
      <c r="E3" t="s">
        <v>50</v>
      </c>
      <c r="F3">
        <v>15900</v>
      </c>
      <c r="G3">
        <v>5</v>
      </c>
    </row>
    <row r="4" spans="2:7">
      <c r="B4" t="s">
        <v>26</v>
      </c>
      <c r="C4" t="s">
        <v>34</v>
      </c>
      <c r="D4" t="s">
        <v>43</v>
      </c>
      <c r="E4" t="s">
        <v>51</v>
      </c>
      <c r="F4">
        <v>18130</v>
      </c>
      <c r="G4">
        <v>4.8</v>
      </c>
    </row>
    <row r="5" spans="2:7">
      <c r="B5" t="s">
        <v>26</v>
      </c>
      <c r="C5" t="s">
        <v>34</v>
      </c>
      <c r="D5" t="s">
        <v>43</v>
      </c>
      <c r="E5" t="s">
        <v>52</v>
      </c>
      <c r="F5">
        <v>27200</v>
      </c>
      <c r="G5">
        <v>5</v>
      </c>
    </row>
    <row r="6" spans="2:7">
      <c r="B6" t="s">
        <v>26</v>
      </c>
      <c r="C6" t="s">
        <v>30</v>
      </c>
      <c r="D6" t="s">
        <v>42</v>
      </c>
      <c r="E6" t="s">
        <v>53</v>
      </c>
      <c r="F6">
        <v>20900</v>
      </c>
      <c r="G6">
        <v>5</v>
      </c>
    </row>
    <row r="7" spans="2:7">
      <c r="B7" t="s">
        <v>28</v>
      </c>
      <c r="C7" t="s">
        <v>32</v>
      </c>
      <c r="D7" t="s">
        <v>42</v>
      </c>
      <c r="E7" t="s">
        <v>54</v>
      </c>
      <c r="F7">
        <v>9990</v>
      </c>
    </row>
    <row r="8" spans="2:7">
      <c r="B8" t="s">
        <v>28</v>
      </c>
      <c r="C8" t="s">
        <v>32</v>
      </c>
      <c r="D8" t="s">
        <v>42</v>
      </c>
      <c r="E8" t="s">
        <v>55</v>
      </c>
      <c r="F8">
        <v>3990</v>
      </c>
    </row>
    <row r="9" spans="2:7">
      <c r="B9" t="s">
        <v>28</v>
      </c>
      <c r="C9" t="s">
        <v>32</v>
      </c>
      <c r="D9" t="s">
        <v>42</v>
      </c>
      <c r="E9" t="s">
        <v>55</v>
      </c>
      <c r="F9">
        <v>3990</v>
      </c>
      <c r="G9">
        <v>5</v>
      </c>
    </row>
    <row r="10" spans="2:7">
      <c r="B10" t="s">
        <v>28</v>
      </c>
      <c r="C10" t="s">
        <v>32</v>
      </c>
      <c r="D10" t="s">
        <v>42</v>
      </c>
      <c r="E10" t="s">
        <v>56</v>
      </c>
      <c r="F10">
        <v>3990</v>
      </c>
    </row>
    <row r="11" spans="2:7">
      <c r="B11" t="s">
        <v>28</v>
      </c>
      <c r="C11" t="s">
        <v>32</v>
      </c>
      <c r="D11" t="s">
        <v>43</v>
      </c>
      <c r="E11" t="s">
        <v>55</v>
      </c>
      <c r="F11">
        <v>3690</v>
      </c>
      <c r="G11">
        <v>5</v>
      </c>
    </row>
    <row r="12" spans="2:7">
      <c r="B12" t="s">
        <v>28</v>
      </c>
      <c r="C12" t="s">
        <v>32</v>
      </c>
      <c r="D12" t="s">
        <v>43</v>
      </c>
      <c r="E12" t="s">
        <v>57</v>
      </c>
      <c r="F12">
        <v>6500</v>
      </c>
      <c r="G12">
        <v>4.9000000000000004</v>
      </c>
    </row>
    <row r="13" spans="2:7">
      <c r="B13" t="s">
        <v>28</v>
      </c>
      <c r="C13" t="s">
        <v>36</v>
      </c>
      <c r="D13" t="s">
        <v>42</v>
      </c>
      <c r="E13" t="s">
        <v>58</v>
      </c>
      <c r="F13">
        <v>20980.7</v>
      </c>
    </row>
    <row r="14" spans="2:7">
      <c r="B14" t="s">
        <v>28</v>
      </c>
      <c r="C14" t="s">
        <v>36</v>
      </c>
      <c r="D14" t="s">
        <v>42</v>
      </c>
      <c r="E14" t="s">
        <v>59</v>
      </c>
      <c r="F14">
        <v>4990</v>
      </c>
      <c r="G14">
        <v>5</v>
      </c>
    </row>
    <row r="15" spans="2:7">
      <c r="B15" t="s">
        <v>28</v>
      </c>
      <c r="C15" t="s">
        <v>36</v>
      </c>
      <c r="D15" t="s">
        <v>43</v>
      </c>
      <c r="E15" t="s">
        <v>59</v>
      </c>
      <c r="F15">
        <v>4990</v>
      </c>
      <c r="G15">
        <v>4.9000000000000004</v>
      </c>
    </row>
    <row r="16" spans="2:7">
      <c r="B16" t="s">
        <v>28</v>
      </c>
      <c r="C16" t="s">
        <v>36</v>
      </c>
      <c r="D16" t="s">
        <v>43</v>
      </c>
      <c r="E16" t="s">
        <v>60</v>
      </c>
      <c r="F16">
        <v>4080</v>
      </c>
      <c r="G16">
        <v>5</v>
      </c>
    </row>
    <row r="17" spans="2:7">
      <c r="B17" t="s">
        <v>28</v>
      </c>
      <c r="C17" t="s">
        <v>36</v>
      </c>
      <c r="D17" t="s">
        <v>43</v>
      </c>
      <c r="E17" t="s">
        <v>59</v>
      </c>
      <c r="F17">
        <v>4990</v>
      </c>
      <c r="G17">
        <v>5</v>
      </c>
    </row>
    <row r="18" spans="2:7">
      <c r="B18" t="s">
        <v>28</v>
      </c>
      <c r="C18" t="s">
        <v>40</v>
      </c>
      <c r="D18" t="s">
        <v>42</v>
      </c>
      <c r="E18" t="s">
        <v>61</v>
      </c>
      <c r="F18">
        <v>23900</v>
      </c>
    </row>
    <row r="19" spans="2:7">
      <c r="B19" t="s">
        <v>28</v>
      </c>
      <c r="C19" t="s">
        <v>40</v>
      </c>
      <c r="D19" t="s">
        <v>42</v>
      </c>
      <c r="E19" t="s">
        <v>62</v>
      </c>
      <c r="F19">
        <v>14900</v>
      </c>
    </row>
    <row r="20" spans="2:7">
      <c r="B20" t="s">
        <v>28</v>
      </c>
      <c r="C20" t="s">
        <v>40</v>
      </c>
      <c r="D20" t="s">
        <v>43</v>
      </c>
      <c r="E20" t="s">
        <v>63</v>
      </c>
      <c r="F20">
        <v>19900</v>
      </c>
      <c r="G20">
        <v>4.9000000000000004</v>
      </c>
    </row>
    <row r="21" spans="2:7">
      <c r="B21" t="s">
        <v>28</v>
      </c>
      <c r="C21" t="s">
        <v>40</v>
      </c>
      <c r="D21" t="s">
        <v>43</v>
      </c>
      <c r="E21" t="s">
        <v>64</v>
      </c>
      <c r="F21">
        <v>19900</v>
      </c>
      <c r="G21">
        <v>5</v>
      </c>
    </row>
    <row r="22" spans="2:7">
      <c r="B22" t="s">
        <v>27</v>
      </c>
      <c r="C22" t="s">
        <v>39</v>
      </c>
      <c r="D22" t="s">
        <v>42</v>
      </c>
      <c r="E22" t="s">
        <v>65</v>
      </c>
      <c r="F22">
        <v>28990</v>
      </c>
    </row>
    <row r="23" spans="2:7">
      <c r="B23" t="s">
        <v>27</v>
      </c>
      <c r="C23" t="s">
        <v>39</v>
      </c>
      <c r="D23" t="s">
        <v>42</v>
      </c>
      <c r="E23" t="s">
        <v>66</v>
      </c>
      <c r="F23">
        <v>17990</v>
      </c>
    </row>
    <row r="24" spans="2:7">
      <c r="B24" t="s">
        <v>27</v>
      </c>
      <c r="C24" t="s">
        <v>39</v>
      </c>
      <c r="D24" t="s">
        <v>42</v>
      </c>
      <c r="E24" t="s">
        <v>67</v>
      </c>
      <c r="F24">
        <v>29950</v>
      </c>
    </row>
    <row r="25" spans="2:7">
      <c r="B25" t="s">
        <v>27</v>
      </c>
      <c r="C25" t="s">
        <v>39</v>
      </c>
      <c r="D25" t="s">
        <v>42</v>
      </c>
      <c r="E25" t="s">
        <v>68</v>
      </c>
      <c r="F25">
        <v>23390</v>
      </c>
    </row>
    <row r="26" spans="2:7">
      <c r="B26" t="s">
        <v>27</v>
      </c>
      <c r="C26" t="s">
        <v>39</v>
      </c>
      <c r="D26" t="s">
        <v>42</v>
      </c>
      <c r="E26" t="s">
        <v>69</v>
      </c>
      <c r="F26">
        <v>22410</v>
      </c>
    </row>
    <row r="27" spans="2:7">
      <c r="B27" t="s">
        <v>27</v>
      </c>
      <c r="C27" t="s">
        <v>39</v>
      </c>
      <c r="D27" t="s">
        <v>42</v>
      </c>
      <c r="E27" t="s">
        <v>70</v>
      </c>
      <c r="F27">
        <v>23350</v>
      </c>
    </row>
    <row r="28" spans="2:7">
      <c r="B28" t="s">
        <v>27</v>
      </c>
      <c r="C28" t="s">
        <v>39</v>
      </c>
      <c r="D28" t="s">
        <v>42</v>
      </c>
      <c r="E28" t="s">
        <v>71</v>
      </c>
      <c r="F28">
        <v>23350</v>
      </c>
    </row>
    <row r="29" spans="2:7">
      <c r="B29" t="s">
        <v>27</v>
      </c>
      <c r="C29" t="s">
        <v>39</v>
      </c>
      <c r="D29" t="s">
        <v>42</v>
      </c>
      <c r="E29" t="s">
        <v>72</v>
      </c>
      <c r="F29">
        <v>23769</v>
      </c>
    </row>
    <row r="30" spans="2:7">
      <c r="B30" t="s">
        <v>27</v>
      </c>
      <c r="C30" t="s">
        <v>39</v>
      </c>
      <c r="D30" t="s">
        <v>42</v>
      </c>
      <c r="E30" t="s">
        <v>73</v>
      </c>
      <c r="F30">
        <v>13980</v>
      </c>
    </row>
    <row r="31" spans="2:7">
      <c r="B31" t="s">
        <v>27</v>
      </c>
      <c r="C31" t="s">
        <v>39</v>
      </c>
      <c r="D31" t="s">
        <v>42</v>
      </c>
      <c r="E31" t="s">
        <v>74</v>
      </c>
      <c r="F31">
        <v>14290</v>
      </c>
    </row>
    <row r="32" spans="2:7">
      <c r="B32" t="s">
        <v>27</v>
      </c>
      <c r="C32" t="s">
        <v>39</v>
      </c>
      <c r="D32" t="s">
        <v>42</v>
      </c>
      <c r="E32" t="s">
        <v>75</v>
      </c>
      <c r="F32">
        <v>15990</v>
      </c>
    </row>
    <row r="33" spans="2:7">
      <c r="B33" t="s">
        <v>27</v>
      </c>
      <c r="C33" t="s">
        <v>39</v>
      </c>
      <c r="D33" t="s">
        <v>42</v>
      </c>
      <c r="E33" t="s">
        <v>76</v>
      </c>
      <c r="F33">
        <v>12980</v>
      </c>
      <c r="G33">
        <v>5</v>
      </c>
    </row>
    <row r="34" spans="2:7">
      <c r="B34" t="s">
        <v>27</v>
      </c>
      <c r="C34" t="s">
        <v>39</v>
      </c>
      <c r="D34" t="s">
        <v>42</v>
      </c>
      <c r="E34" t="s">
        <v>74</v>
      </c>
      <c r="F34">
        <v>14290</v>
      </c>
      <c r="G34">
        <v>5</v>
      </c>
    </row>
    <row r="35" spans="2:7">
      <c r="B35" t="s">
        <v>27</v>
      </c>
      <c r="C35" t="s">
        <v>39</v>
      </c>
      <c r="D35" t="s">
        <v>42</v>
      </c>
      <c r="E35" t="s">
        <v>77</v>
      </c>
      <c r="F35">
        <v>13890</v>
      </c>
    </row>
    <row r="36" spans="2:7">
      <c r="B36" t="s">
        <v>27</v>
      </c>
      <c r="C36" t="s">
        <v>39</v>
      </c>
      <c r="D36" t="s">
        <v>42</v>
      </c>
      <c r="E36" t="s">
        <v>78</v>
      </c>
      <c r="F36">
        <v>18790</v>
      </c>
      <c r="G36">
        <v>4.9000000000000004</v>
      </c>
    </row>
    <row r="37" spans="2:7">
      <c r="B37" t="s">
        <v>27</v>
      </c>
      <c r="C37" t="s">
        <v>39</v>
      </c>
      <c r="D37" t="s">
        <v>42</v>
      </c>
      <c r="E37" t="s">
        <v>79</v>
      </c>
      <c r="F37">
        <v>26145</v>
      </c>
      <c r="G37">
        <v>4.5999999999999996</v>
      </c>
    </row>
    <row r="38" spans="2:7">
      <c r="B38" t="s">
        <v>27</v>
      </c>
      <c r="C38" t="s">
        <v>39</v>
      </c>
      <c r="D38" t="s">
        <v>42</v>
      </c>
      <c r="E38" t="s">
        <v>77</v>
      </c>
      <c r="F38">
        <v>6800</v>
      </c>
      <c r="G38">
        <v>5</v>
      </c>
    </row>
    <row r="39" spans="2:7">
      <c r="B39" t="s">
        <v>27</v>
      </c>
      <c r="C39" t="s">
        <v>39</v>
      </c>
      <c r="D39" t="s">
        <v>42</v>
      </c>
      <c r="E39" t="s">
        <v>77</v>
      </c>
      <c r="F39">
        <v>6500</v>
      </c>
      <c r="G39">
        <v>3</v>
      </c>
    </row>
    <row r="40" spans="2:7">
      <c r="B40" t="s">
        <v>27</v>
      </c>
      <c r="C40" t="s">
        <v>39</v>
      </c>
      <c r="D40" t="s">
        <v>42</v>
      </c>
      <c r="E40" t="s">
        <v>78</v>
      </c>
      <c r="F40">
        <v>13790</v>
      </c>
      <c r="G40">
        <v>5</v>
      </c>
    </row>
    <row r="41" spans="2:7">
      <c r="B41" t="s">
        <v>27</v>
      </c>
      <c r="C41" t="s">
        <v>39</v>
      </c>
      <c r="D41" t="s">
        <v>43</v>
      </c>
      <c r="E41" t="s">
        <v>80</v>
      </c>
      <c r="F41">
        <v>14405</v>
      </c>
      <c r="G41">
        <v>5</v>
      </c>
    </row>
    <row r="42" spans="2:7">
      <c r="B42" t="s">
        <v>27</v>
      </c>
      <c r="C42" t="s">
        <v>39</v>
      </c>
      <c r="D42" t="s">
        <v>43</v>
      </c>
      <c r="E42" t="s">
        <v>81</v>
      </c>
      <c r="F42">
        <v>17880</v>
      </c>
      <c r="G42">
        <v>4.9000000000000004</v>
      </c>
    </row>
    <row r="43" spans="2:7">
      <c r="B43" t="s">
        <v>27</v>
      </c>
      <c r="C43" t="s">
        <v>39</v>
      </c>
      <c r="D43" t="s">
        <v>43</v>
      </c>
      <c r="E43" t="s">
        <v>66</v>
      </c>
      <c r="F43">
        <v>17490</v>
      </c>
      <c r="G43">
        <v>5</v>
      </c>
    </row>
    <row r="44" spans="2:7">
      <c r="B44" t="s">
        <v>27</v>
      </c>
      <c r="C44" t="s">
        <v>39</v>
      </c>
      <c r="D44" t="s">
        <v>43</v>
      </c>
      <c r="E44" t="s">
        <v>82</v>
      </c>
      <c r="F44">
        <v>19175</v>
      </c>
      <c r="G44">
        <v>5</v>
      </c>
    </row>
    <row r="45" spans="2:7">
      <c r="B45" t="s">
        <v>27</v>
      </c>
      <c r="C45" t="s">
        <v>39</v>
      </c>
      <c r="D45" t="s">
        <v>43</v>
      </c>
      <c r="E45" t="s">
        <v>74</v>
      </c>
      <c r="F45">
        <v>14290</v>
      </c>
      <c r="G45">
        <v>5</v>
      </c>
    </row>
    <row r="46" spans="2:7">
      <c r="B46" t="s">
        <v>27</v>
      </c>
      <c r="C46" t="s">
        <v>39</v>
      </c>
      <c r="D46" t="s">
        <v>43</v>
      </c>
      <c r="E46" t="s">
        <v>83</v>
      </c>
      <c r="F46">
        <v>16999</v>
      </c>
      <c r="G46">
        <v>5</v>
      </c>
    </row>
    <row r="47" spans="2:7">
      <c r="B47" t="s">
        <v>27</v>
      </c>
      <c r="C47" t="s">
        <v>39</v>
      </c>
      <c r="D47" t="s">
        <v>43</v>
      </c>
      <c r="E47" t="s">
        <v>84</v>
      </c>
      <c r="F47">
        <v>26399</v>
      </c>
      <c r="G47">
        <v>5</v>
      </c>
    </row>
    <row r="48" spans="2:7">
      <c r="B48" t="s">
        <v>27</v>
      </c>
      <c r="C48" t="s">
        <v>39</v>
      </c>
      <c r="D48" t="s">
        <v>43</v>
      </c>
      <c r="E48" t="s">
        <v>85</v>
      </c>
      <c r="F48">
        <v>19920</v>
      </c>
      <c r="G48">
        <v>5</v>
      </c>
    </row>
    <row r="49" spans="2:7">
      <c r="B49" t="s">
        <v>27</v>
      </c>
      <c r="C49" t="s">
        <v>39</v>
      </c>
      <c r="D49" t="s">
        <v>43</v>
      </c>
      <c r="E49" t="s">
        <v>86</v>
      </c>
      <c r="F49">
        <v>17067</v>
      </c>
      <c r="G49">
        <v>4</v>
      </c>
    </row>
    <row r="50" spans="2:7">
      <c r="B50" t="s">
        <v>27</v>
      </c>
      <c r="C50" t="s">
        <v>39</v>
      </c>
      <c r="D50" t="s">
        <v>43</v>
      </c>
      <c r="E50" t="s">
        <v>87</v>
      </c>
      <c r="F50">
        <v>13900</v>
      </c>
      <c r="G50">
        <v>4.9000000000000004</v>
      </c>
    </row>
    <row r="51" spans="2:7">
      <c r="B51" t="s">
        <v>27</v>
      </c>
      <c r="C51" t="s">
        <v>39</v>
      </c>
      <c r="D51" t="s">
        <v>43</v>
      </c>
      <c r="E51" t="s">
        <v>88</v>
      </c>
      <c r="F51">
        <v>12990</v>
      </c>
      <c r="G51">
        <v>5</v>
      </c>
    </row>
    <row r="52" spans="2:7">
      <c r="B52" t="s">
        <v>27</v>
      </c>
      <c r="C52" t="s">
        <v>39</v>
      </c>
      <c r="D52" t="s">
        <v>43</v>
      </c>
      <c r="E52" t="s">
        <v>89</v>
      </c>
      <c r="F52">
        <v>32790</v>
      </c>
      <c r="G52">
        <v>4.9000000000000004</v>
      </c>
    </row>
    <row r="53" spans="2:7">
      <c r="B53" t="s">
        <v>27</v>
      </c>
      <c r="C53" t="s">
        <v>39</v>
      </c>
      <c r="D53" t="s">
        <v>43</v>
      </c>
      <c r="E53" t="s">
        <v>90</v>
      </c>
      <c r="F53">
        <v>34055</v>
      </c>
      <c r="G53">
        <v>4.9000000000000004</v>
      </c>
    </row>
    <row r="54" spans="2:7">
      <c r="B54" t="s">
        <v>27</v>
      </c>
      <c r="C54" t="s">
        <v>31</v>
      </c>
      <c r="D54" t="s">
        <v>42</v>
      </c>
      <c r="E54" t="s">
        <v>91</v>
      </c>
      <c r="F54">
        <v>1047.45</v>
      </c>
    </row>
    <row r="55" spans="2:7">
      <c r="B55" t="s">
        <v>27</v>
      </c>
      <c r="C55" t="s">
        <v>31</v>
      </c>
      <c r="D55" t="s">
        <v>42</v>
      </c>
      <c r="E55" t="s">
        <v>91</v>
      </c>
      <c r="F55">
        <v>1045.21</v>
      </c>
    </row>
    <row r="56" spans="2:7">
      <c r="B56" t="s">
        <v>27</v>
      </c>
      <c r="C56" t="s">
        <v>31</v>
      </c>
      <c r="D56" t="s">
        <v>42</v>
      </c>
      <c r="E56" t="s">
        <v>92</v>
      </c>
      <c r="F56">
        <v>1159.17</v>
      </c>
    </row>
    <row r="57" spans="2:7">
      <c r="B57" t="s">
        <v>27</v>
      </c>
      <c r="C57" t="s">
        <v>31</v>
      </c>
      <c r="D57" t="s">
        <v>42</v>
      </c>
      <c r="E57" t="s">
        <v>93</v>
      </c>
      <c r="F57">
        <v>826.39</v>
      </c>
    </row>
    <row r="58" spans="2:7">
      <c r="B58" t="s">
        <v>27</v>
      </c>
      <c r="C58" t="s">
        <v>31</v>
      </c>
      <c r="D58" t="s">
        <v>42</v>
      </c>
      <c r="E58" t="s">
        <v>94</v>
      </c>
      <c r="F58">
        <v>579.21</v>
      </c>
    </row>
    <row r="59" spans="2:7">
      <c r="B59" t="s">
        <v>27</v>
      </c>
      <c r="C59" t="s">
        <v>31</v>
      </c>
      <c r="D59" t="s">
        <v>42</v>
      </c>
      <c r="E59" t="s">
        <v>95</v>
      </c>
      <c r="F59">
        <v>10659</v>
      </c>
    </row>
    <row r="60" spans="2:7">
      <c r="B60" t="s">
        <v>27</v>
      </c>
      <c r="C60" t="s">
        <v>31</v>
      </c>
      <c r="D60" t="s">
        <v>42</v>
      </c>
      <c r="E60" t="s">
        <v>96</v>
      </c>
      <c r="F60">
        <v>10900</v>
      </c>
    </row>
    <row r="61" spans="2:7">
      <c r="B61" t="s">
        <v>27</v>
      </c>
      <c r="C61" t="s">
        <v>31</v>
      </c>
      <c r="D61" t="s">
        <v>42</v>
      </c>
      <c r="E61" t="s">
        <v>97</v>
      </c>
      <c r="F61">
        <v>7490</v>
      </c>
      <c r="G61">
        <v>5</v>
      </c>
    </row>
    <row r="62" spans="2:7">
      <c r="B62" t="s">
        <v>27</v>
      </c>
      <c r="C62" t="s">
        <v>31</v>
      </c>
      <c r="D62" t="s">
        <v>42</v>
      </c>
      <c r="E62" t="s">
        <v>98</v>
      </c>
      <c r="F62">
        <v>6999</v>
      </c>
      <c r="G62">
        <v>5</v>
      </c>
    </row>
    <row r="63" spans="2:7">
      <c r="B63" t="s">
        <v>27</v>
      </c>
      <c r="C63" t="s">
        <v>31</v>
      </c>
      <c r="D63" t="s">
        <v>42</v>
      </c>
      <c r="E63" t="s">
        <v>99</v>
      </c>
      <c r="F63">
        <v>5899</v>
      </c>
    </row>
    <row r="64" spans="2:7">
      <c r="B64" t="s">
        <v>27</v>
      </c>
      <c r="C64" t="s">
        <v>31</v>
      </c>
      <c r="D64" t="s">
        <v>42</v>
      </c>
      <c r="E64" t="s">
        <v>100</v>
      </c>
      <c r="F64">
        <v>4990</v>
      </c>
      <c r="G64">
        <v>5</v>
      </c>
    </row>
    <row r="65" spans="2:7">
      <c r="B65" t="s">
        <v>27</v>
      </c>
      <c r="C65" t="s">
        <v>31</v>
      </c>
      <c r="D65" t="s">
        <v>42</v>
      </c>
      <c r="E65" t="s">
        <v>101</v>
      </c>
      <c r="F65">
        <v>3500</v>
      </c>
    </row>
    <row r="66" spans="2:7">
      <c r="B66" t="s">
        <v>27</v>
      </c>
      <c r="C66" t="s">
        <v>31</v>
      </c>
      <c r="D66" t="s">
        <v>42</v>
      </c>
      <c r="E66" t="s">
        <v>94</v>
      </c>
      <c r="F66">
        <v>566.35</v>
      </c>
      <c r="G66">
        <v>5</v>
      </c>
    </row>
    <row r="67" spans="2:7">
      <c r="B67" t="s">
        <v>27</v>
      </c>
      <c r="C67" t="s">
        <v>31</v>
      </c>
      <c r="D67" t="s">
        <v>43</v>
      </c>
      <c r="E67" t="s">
        <v>102</v>
      </c>
      <c r="F67">
        <v>11618</v>
      </c>
      <c r="G67">
        <v>5</v>
      </c>
    </row>
    <row r="68" spans="2:7">
      <c r="B68" t="s">
        <v>27</v>
      </c>
      <c r="C68" t="s">
        <v>31</v>
      </c>
      <c r="D68" t="s">
        <v>43</v>
      </c>
      <c r="E68" t="s">
        <v>103</v>
      </c>
      <c r="F68">
        <v>7990</v>
      </c>
      <c r="G68">
        <v>5</v>
      </c>
    </row>
    <row r="69" spans="2:7">
      <c r="B69" t="s">
        <v>27</v>
      </c>
      <c r="C69" t="s">
        <v>31</v>
      </c>
      <c r="D69" t="s">
        <v>43</v>
      </c>
      <c r="E69" t="s">
        <v>104</v>
      </c>
      <c r="F69">
        <v>429</v>
      </c>
      <c r="G69">
        <v>4</v>
      </c>
    </row>
    <row r="70" spans="2:7">
      <c r="B70" t="s">
        <v>27</v>
      </c>
      <c r="C70" t="s">
        <v>31</v>
      </c>
      <c r="D70" t="s">
        <v>43</v>
      </c>
      <c r="E70" t="s">
        <v>105</v>
      </c>
      <c r="F70">
        <v>670</v>
      </c>
      <c r="G70">
        <v>5</v>
      </c>
    </row>
    <row r="71" spans="2:7">
      <c r="B71" t="s">
        <v>27</v>
      </c>
      <c r="C71" t="s">
        <v>31</v>
      </c>
      <c r="D71" t="s">
        <v>43</v>
      </c>
      <c r="E71" t="s">
        <v>106</v>
      </c>
      <c r="F71">
        <v>563</v>
      </c>
      <c r="G71">
        <v>4.4000000000000004</v>
      </c>
    </row>
    <row r="72" spans="2:7">
      <c r="B72" t="s">
        <v>27</v>
      </c>
      <c r="C72" t="s">
        <v>31</v>
      </c>
      <c r="D72" t="s">
        <v>43</v>
      </c>
      <c r="E72" t="s">
        <v>107</v>
      </c>
      <c r="F72">
        <v>7990</v>
      </c>
      <c r="G72">
        <v>5</v>
      </c>
    </row>
    <row r="73" spans="2:7">
      <c r="B73" t="s">
        <v>27</v>
      </c>
      <c r="C73" t="s">
        <v>31</v>
      </c>
      <c r="D73" t="s">
        <v>43</v>
      </c>
      <c r="E73" t="s">
        <v>108</v>
      </c>
      <c r="F73">
        <v>6990</v>
      </c>
      <c r="G73">
        <v>5</v>
      </c>
    </row>
    <row r="74" spans="2:7">
      <c r="B74" t="s">
        <v>27</v>
      </c>
      <c r="C74" t="s">
        <v>31</v>
      </c>
      <c r="D74" t="s">
        <v>43</v>
      </c>
      <c r="E74" t="s">
        <v>109</v>
      </c>
      <c r="F74">
        <v>1624</v>
      </c>
    </row>
    <row r="75" spans="2:7">
      <c r="B75" t="s">
        <v>27</v>
      </c>
      <c r="C75" t="s">
        <v>31</v>
      </c>
      <c r="D75" t="s">
        <v>43</v>
      </c>
      <c r="E75" t="s">
        <v>110</v>
      </c>
      <c r="F75">
        <v>10900</v>
      </c>
      <c r="G75">
        <v>4.9000000000000004</v>
      </c>
    </row>
    <row r="76" spans="2:7">
      <c r="B76" t="s">
        <v>27</v>
      </c>
      <c r="C76" t="s">
        <v>31</v>
      </c>
      <c r="D76" t="s">
        <v>43</v>
      </c>
      <c r="E76" t="s">
        <v>95</v>
      </c>
      <c r="F76">
        <v>10659</v>
      </c>
      <c r="G76">
        <v>4.9000000000000004</v>
      </c>
    </row>
    <row r="77" spans="2:7">
      <c r="B77" t="s">
        <v>27</v>
      </c>
      <c r="C77" t="s">
        <v>31</v>
      </c>
      <c r="D77" t="s">
        <v>43</v>
      </c>
      <c r="E77" t="s">
        <v>111</v>
      </c>
      <c r="F77">
        <v>9180</v>
      </c>
      <c r="G77">
        <v>4.9000000000000004</v>
      </c>
    </row>
    <row r="78" spans="2:7">
      <c r="B78" t="s">
        <v>27</v>
      </c>
      <c r="C78" t="s">
        <v>31</v>
      </c>
      <c r="D78" t="s">
        <v>43</v>
      </c>
      <c r="E78" t="s">
        <v>112</v>
      </c>
      <c r="F78">
        <v>9286</v>
      </c>
      <c r="G78">
        <v>4.8</v>
      </c>
    </row>
    <row r="79" spans="2:7">
      <c r="B79" t="s">
        <v>27</v>
      </c>
      <c r="C79" t="s">
        <v>31</v>
      </c>
      <c r="D79" t="s">
        <v>43</v>
      </c>
      <c r="E79" t="s">
        <v>113</v>
      </c>
      <c r="F79">
        <v>20995</v>
      </c>
      <c r="G79">
        <v>4.9000000000000004</v>
      </c>
    </row>
    <row r="80" spans="2:7">
      <c r="B80" t="s">
        <v>27</v>
      </c>
      <c r="C80" t="s">
        <v>35</v>
      </c>
      <c r="D80" t="s">
        <v>42</v>
      </c>
      <c r="E80" t="s">
        <v>114</v>
      </c>
      <c r="F80">
        <v>15619</v>
      </c>
    </row>
    <row r="81" spans="2:7">
      <c r="B81" t="s">
        <v>27</v>
      </c>
      <c r="C81" t="s">
        <v>35</v>
      </c>
      <c r="D81" t="s">
        <v>42</v>
      </c>
      <c r="E81" t="s">
        <v>115</v>
      </c>
      <c r="F81">
        <v>11900</v>
      </c>
    </row>
    <row r="82" spans="2:7">
      <c r="B82" t="s">
        <v>27</v>
      </c>
      <c r="C82" t="s">
        <v>35</v>
      </c>
      <c r="D82" t="s">
        <v>42</v>
      </c>
      <c r="E82" t="s">
        <v>116</v>
      </c>
      <c r="F82">
        <v>11819</v>
      </c>
    </row>
    <row r="83" spans="2:7">
      <c r="B83" t="s">
        <v>27</v>
      </c>
      <c r="C83" t="s">
        <v>35</v>
      </c>
      <c r="D83" t="s">
        <v>42</v>
      </c>
      <c r="E83" t="s">
        <v>117</v>
      </c>
      <c r="F83">
        <v>13900</v>
      </c>
    </row>
    <row r="84" spans="2:7">
      <c r="B84" t="s">
        <v>27</v>
      </c>
      <c r="C84" t="s">
        <v>35</v>
      </c>
      <c r="D84" t="s">
        <v>42</v>
      </c>
      <c r="E84" t="s">
        <v>118</v>
      </c>
      <c r="F84">
        <v>10990</v>
      </c>
      <c r="G84">
        <v>5</v>
      </c>
    </row>
    <row r="85" spans="2:7">
      <c r="B85" t="s">
        <v>27</v>
      </c>
      <c r="C85" t="s">
        <v>35</v>
      </c>
      <c r="D85" t="s">
        <v>42</v>
      </c>
      <c r="E85" t="s">
        <v>119</v>
      </c>
      <c r="F85">
        <v>10000</v>
      </c>
    </row>
    <row r="86" spans="2:7">
      <c r="B86" t="s">
        <v>27</v>
      </c>
      <c r="C86" t="s">
        <v>35</v>
      </c>
      <c r="D86" t="s">
        <v>42</v>
      </c>
      <c r="E86" t="s">
        <v>120</v>
      </c>
      <c r="F86">
        <v>12693</v>
      </c>
      <c r="G86">
        <v>5</v>
      </c>
    </row>
    <row r="87" spans="2:7">
      <c r="B87" t="s">
        <v>27</v>
      </c>
      <c r="C87" t="s">
        <v>35</v>
      </c>
      <c r="D87" t="s">
        <v>42</v>
      </c>
      <c r="E87" t="s">
        <v>121</v>
      </c>
      <c r="F87">
        <v>9999</v>
      </c>
      <c r="G87">
        <v>5</v>
      </c>
    </row>
    <row r="88" spans="2:7">
      <c r="B88" t="s">
        <v>27</v>
      </c>
      <c r="C88" t="s">
        <v>35</v>
      </c>
      <c r="D88" t="s">
        <v>42</v>
      </c>
      <c r="E88" t="s">
        <v>122</v>
      </c>
      <c r="F88">
        <v>7790</v>
      </c>
    </row>
    <row r="89" spans="2:7">
      <c r="B89" t="s">
        <v>27</v>
      </c>
      <c r="C89" t="s">
        <v>35</v>
      </c>
      <c r="D89" t="s">
        <v>42</v>
      </c>
      <c r="E89" t="s">
        <v>123</v>
      </c>
      <c r="F89">
        <v>12119</v>
      </c>
    </row>
    <row r="90" spans="2:7">
      <c r="B90" t="s">
        <v>27</v>
      </c>
      <c r="C90" t="s">
        <v>35</v>
      </c>
      <c r="D90" t="s">
        <v>42</v>
      </c>
      <c r="E90" t="s">
        <v>124</v>
      </c>
      <c r="F90">
        <v>11900</v>
      </c>
      <c r="G90">
        <v>5</v>
      </c>
    </row>
    <row r="91" spans="2:7">
      <c r="B91" t="s">
        <v>27</v>
      </c>
      <c r="C91" t="s">
        <v>35</v>
      </c>
      <c r="D91" t="s">
        <v>42</v>
      </c>
      <c r="E91" t="s">
        <v>125</v>
      </c>
      <c r="F91">
        <v>13090</v>
      </c>
    </row>
    <row r="92" spans="2:7">
      <c r="B92" t="s">
        <v>27</v>
      </c>
      <c r="C92" t="s">
        <v>35</v>
      </c>
      <c r="D92" t="s">
        <v>42</v>
      </c>
      <c r="E92" t="s">
        <v>126</v>
      </c>
      <c r="F92">
        <v>13090</v>
      </c>
    </row>
    <row r="93" spans="2:7">
      <c r="B93" t="s">
        <v>27</v>
      </c>
      <c r="C93" t="s">
        <v>35</v>
      </c>
      <c r="D93" t="s">
        <v>42</v>
      </c>
      <c r="E93" t="s">
        <v>127</v>
      </c>
      <c r="F93">
        <v>5820</v>
      </c>
    </row>
    <row r="94" spans="2:7">
      <c r="B94" t="s">
        <v>27</v>
      </c>
      <c r="C94" t="s">
        <v>35</v>
      </c>
      <c r="D94" t="s">
        <v>42</v>
      </c>
      <c r="E94" t="s">
        <v>128</v>
      </c>
      <c r="F94">
        <v>5133</v>
      </c>
    </row>
    <row r="95" spans="2:7">
      <c r="B95" t="s">
        <v>27</v>
      </c>
      <c r="C95" t="s">
        <v>35</v>
      </c>
      <c r="D95" t="s">
        <v>42</v>
      </c>
      <c r="E95" t="s">
        <v>129</v>
      </c>
      <c r="F95">
        <v>6900</v>
      </c>
      <c r="G95">
        <v>1</v>
      </c>
    </row>
    <row r="96" spans="2:7">
      <c r="B96" t="s">
        <v>27</v>
      </c>
      <c r="C96" t="s">
        <v>35</v>
      </c>
      <c r="D96" t="s">
        <v>42</v>
      </c>
      <c r="E96" t="s">
        <v>130</v>
      </c>
      <c r="F96">
        <v>5120</v>
      </c>
    </row>
    <row r="97" spans="2:7">
      <c r="B97" t="s">
        <v>27</v>
      </c>
      <c r="C97" t="s">
        <v>35</v>
      </c>
      <c r="D97" t="s">
        <v>42</v>
      </c>
      <c r="E97" t="s">
        <v>131</v>
      </c>
      <c r="F97">
        <v>8130</v>
      </c>
      <c r="G97">
        <v>5</v>
      </c>
    </row>
    <row r="98" spans="2:7">
      <c r="B98" t="s">
        <v>27</v>
      </c>
      <c r="C98" t="s">
        <v>35</v>
      </c>
      <c r="D98" t="s">
        <v>42</v>
      </c>
      <c r="E98" t="s">
        <v>132</v>
      </c>
      <c r="F98">
        <v>5500</v>
      </c>
      <c r="G98">
        <v>4.7</v>
      </c>
    </row>
    <row r="99" spans="2:7">
      <c r="B99" t="s">
        <v>27</v>
      </c>
      <c r="C99" t="s">
        <v>35</v>
      </c>
      <c r="D99" t="s">
        <v>42</v>
      </c>
      <c r="E99" t="s">
        <v>133</v>
      </c>
      <c r="F99">
        <v>6417.87</v>
      </c>
    </row>
    <row r="100" spans="2:7">
      <c r="B100" t="s">
        <v>27</v>
      </c>
      <c r="C100" t="s">
        <v>35</v>
      </c>
      <c r="D100" t="s">
        <v>42</v>
      </c>
      <c r="E100" t="s">
        <v>131</v>
      </c>
      <c r="F100">
        <v>6849</v>
      </c>
      <c r="G100">
        <v>5</v>
      </c>
    </row>
    <row r="101" spans="2:7">
      <c r="B101" t="s">
        <v>27</v>
      </c>
      <c r="C101" t="s">
        <v>35</v>
      </c>
      <c r="D101" t="s">
        <v>42</v>
      </c>
      <c r="E101" t="s">
        <v>134</v>
      </c>
      <c r="F101">
        <v>5990</v>
      </c>
      <c r="G101">
        <v>5</v>
      </c>
    </row>
    <row r="102" spans="2:7">
      <c r="B102" t="s">
        <v>27</v>
      </c>
      <c r="C102" t="s">
        <v>35</v>
      </c>
      <c r="D102" t="s">
        <v>42</v>
      </c>
      <c r="E102" t="s">
        <v>135</v>
      </c>
      <c r="F102">
        <v>12495</v>
      </c>
      <c r="G102">
        <v>5</v>
      </c>
    </row>
    <row r="103" spans="2:7">
      <c r="B103" t="s">
        <v>27</v>
      </c>
      <c r="C103" t="s">
        <v>35</v>
      </c>
      <c r="D103" t="s">
        <v>43</v>
      </c>
      <c r="E103" t="s">
        <v>136</v>
      </c>
      <c r="F103">
        <v>7900</v>
      </c>
      <c r="G103">
        <v>5</v>
      </c>
    </row>
    <row r="104" spans="2:7">
      <c r="B104" t="s">
        <v>27</v>
      </c>
      <c r="C104" t="s">
        <v>35</v>
      </c>
      <c r="D104" t="s">
        <v>43</v>
      </c>
      <c r="E104" t="s">
        <v>122</v>
      </c>
      <c r="F104">
        <v>7790</v>
      </c>
      <c r="G104">
        <v>5</v>
      </c>
    </row>
    <row r="105" spans="2:7">
      <c r="B105" t="s">
        <v>27</v>
      </c>
      <c r="C105" t="s">
        <v>35</v>
      </c>
      <c r="D105" t="s">
        <v>43</v>
      </c>
      <c r="E105" t="s">
        <v>137</v>
      </c>
      <c r="F105">
        <v>6980</v>
      </c>
      <c r="G105">
        <v>5</v>
      </c>
    </row>
    <row r="106" spans="2:7">
      <c r="B106" t="s">
        <v>27</v>
      </c>
      <c r="C106" t="s">
        <v>35</v>
      </c>
      <c r="D106" t="s">
        <v>43</v>
      </c>
      <c r="E106" t="s">
        <v>124</v>
      </c>
      <c r="F106">
        <v>10900</v>
      </c>
      <c r="G106">
        <v>5</v>
      </c>
    </row>
    <row r="107" spans="2:7">
      <c r="B107" t="s">
        <v>27</v>
      </c>
      <c r="C107" t="s">
        <v>35</v>
      </c>
      <c r="D107" t="s">
        <v>43</v>
      </c>
      <c r="E107" t="s">
        <v>118</v>
      </c>
      <c r="F107">
        <v>10590</v>
      </c>
      <c r="G107">
        <v>5</v>
      </c>
    </row>
    <row r="108" spans="2:7">
      <c r="B108" t="s">
        <v>27</v>
      </c>
      <c r="C108" t="s">
        <v>35</v>
      </c>
      <c r="D108" t="s">
        <v>43</v>
      </c>
      <c r="E108" t="s">
        <v>138</v>
      </c>
      <c r="F108">
        <v>8490</v>
      </c>
      <c r="G108">
        <v>5</v>
      </c>
    </row>
    <row r="109" spans="2:7">
      <c r="B109" t="s">
        <v>27</v>
      </c>
      <c r="C109" t="s">
        <v>35</v>
      </c>
      <c r="D109" t="s">
        <v>43</v>
      </c>
      <c r="E109" t="s">
        <v>139</v>
      </c>
      <c r="F109">
        <v>8690</v>
      </c>
      <c r="G109">
        <v>4.9000000000000004</v>
      </c>
    </row>
    <row r="110" spans="2:7">
      <c r="B110" t="s">
        <v>27</v>
      </c>
      <c r="C110" t="s">
        <v>35</v>
      </c>
      <c r="D110" t="s">
        <v>43</v>
      </c>
      <c r="E110" t="s">
        <v>121</v>
      </c>
      <c r="F110">
        <v>9999</v>
      </c>
      <c r="G110">
        <v>5</v>
      </c>
    </row>
    <row r="111" spans="2:7">
      <c r="B111" t="s">
        <v>27</v>
      </c>
      <c r="C111" t="s">
        <v>35</v>
      </c>
      <c r="D111" t="s">
        <v>43</v>
      </c>
      <c r="E111" t="s">
        <v>140</v>
      </c>
      <c r="F111">
        <v>16703</v>
      </c>
      <c r="G111">
        <v>5</v>
      </c>
    </row>
    <row r="112" spans="2:7">
      <c r="B112" t="s">
        <v>27</v>
      </c>
      <c r="C112" t="s">
        <v>35</v>
      </c>
      <c r="D112" t="s">
        <v>43</v>
      </c>
      <c r="E112" t="s">
        <v>141</v>
      </c>
      <c r="F112">
        <v>12619</v>
      </c>
      <c r="G112">
        <v>5</v>
      </c>
    </row>
    <row r="113" spans="2:7">
      <c r="B113" t="s">
        <v>27</v>
      </c>
      <c r="C113" t="s">
        <v>35</v>
      </c>
      <c r="D113" t="s">
        <v>43</v>
      </c>
      <c r="E113" t="s">
        <v>114</v>
      </c>
      <c r="F113">
        <v>15459</v>
      </c>
      <c r="G113">
        <v>5</v>
      </c>
    </row>
    <row r="114" spans="2:7">
      <c r="B114" t="s">
        <v>27</v>
      </c>
      <c r="C114" t="s">
        <v>35</v>
      </c>
      <c r="D114" t="s">
        <v>43</v>
      </c>
      <c r="E114" t="s">
        <v>142</v>
      </c>
      <c r="F114">
        <v>15927</v>
      </c>
    </row>
    <row r="115" spans="2:7">
      <c r="B115" t="s">
        <v>27</v>
      </c>
      <c r="C115" t="s">
        <v>35</v>
      </c>
      <c r="D115" t="s">
        <v>43</v>
      </c>
      <c r="E115" t="s">
        <v>143</v>
      </c>
      <c r="F115">
        <v>16009</v>
      </c>
      <c r="G115">
        <v>4.9000000000000004</v>
      </c>
    </row>
    <row r="116" spans="2:7">
      <c r="B116" t="s">
        <v>27</v>
      </c>
      <c r="C116" t="s">
        <v>35</v>
      </c>
      <c r="D116" t="s">
        <v>43</v>
      </c>
      <c r="E116" t="s">
        <v>144</v>
      </c>
      <c r="F116">
        <v>9520</v>
      </c>
      <c r="G116">
        <v>5</v>
      </c>
    </row>
    <row r="117" spans="2:7">
      <c r="B117" t="s">
        <v>27</v>
      </c>
      <c r="C117" t="s">
        <v>35</v>
      </c>
      <c r="D117" t="s">
        <v>43</v>
      </c>
      <c r="E117" t="s">
        <v>145</v>
      </c>
      <c r="F117">
        <v>10747</v>
      </c>
      <c r="G117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"/>
  <sheetViews>
    <sheetView workbookViewId="0">
      <selection activeCell="D11" sqref="D11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26</v>
      </c>
      <c r="C3" t="s">
        <v>34</v>
      </c>
      <c r="D3" t="s">
        <v>42</v>
      </c>
      <c r="E3" t="s">
        <v>50</v>
      </c>
      <c r="F3" s="1">
        <v>15900</v>
      </c>
      <c r="G3" s="2">
        <v>5</v>
      </c>
    </row>
    <row r="4" spans="2:7">
      <c r="B4" t="s">
        <v>26</v>
      </c>
      <c r="C4" t="s">
        <v>34</v>
      </c>
      <c r="D4" t="s">
        <v>43</v>
      </c>
      <c r="E4" t="s">
        <v>51</v>
      </c>
      <c r="F4" s="1">
        <v>18130</v>
      </c>
      <c r="G4" s="2">
        <v>4.8</v>
      </c>
    </row>
    <row r="5" spans="2:7">
      <c r="B5" t="s">
        <v>26</v>
      </c>
      <c r="C5" t="s">
        <v>34</v>
      </c>
      <c r="D5" t="s">
        <v>43</v>
      </c>
      <c r="E5" t="s">
        <v>52</v>
      </c>
      <c r="F5" s="1">
        <v>27200</v>
      </c>
      <c r="G5" s="2">
        <v>5</v>
      </c>
    </row>
    <row r="6" spans="2:7">
      <c r="B6" t="s">
        <v>26</v>
      </c>
      <c r="C6" t="s">
        <v>30</v>
      </c>
      <c r="D6" t="s">
        <v>42</v>
      </c>
      <c r="E6" t="s">
        <v>53</v>
      </c>
      <c r="F6" s="1">
        <v>20900</v>
      </c>
      <c r="G6" s="2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98"/>
  <sheetViews>
    <sheetView workbookViewId="0">
      <selection activeCell="I11" sqref="I11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27</v>
      </c>
      <c r="C3" t="s">
        <v>39</v>
      </c>
      <c r="D3" t="s">
        <v>42</v>
      </c>
      <c r="E3" t="s">
        <v>77</v>
      </c>
      <c r="F3" s="1">
        <v>13890</v>
      </c>
      <c r="G3" s="2"/>
    </row>
    <row r="4" spans="2:7">
      <c r="B4" t="s">
        <v>27</v>
      </c>
      <c r="C4" t="s">
        <v>39</v>
      </c>
      <c r="D4" t="s">
        <v>42</v>
      </c>
      <c r="E4" t="s">
        <v>77</v>
      </c>
      <c r="F4" s="1">
        <v>6800</v>
      </c>
      <c r="G4" s="2">
        <v>5</v>
      </c>
    </row>
    <row r="5" spans="2:7">
      <c r="B5" t="s">
        <v>27</v>
      </c>
      <c r="C5" t="s">
        <v>39</v>
      </c>
      <c r="D5" t="s">
        <v>42</v>
      </c>
      <c r="E5" t="s">
        <v>77</v>
      </c>
      <c r="F5" s="1">
        <v>6500</v>
      </c>
      <c r="G5" s="2">
        <v>3</v>
      </c>
    </row>
    <row r="6" spans="2:7">
      <c r="B6" t="s">
        <v>27</v>
      </c>
      <c r="C6" t="s">
        <v>39</v>
      </c>
      <c r="D6" t="s">
        <v>42</v>
      </c>
      <c r="E6" t="s">
        <v>75</v>
      </c>
      <c r="F6" s="1">
        <v>15990</v>
      </c>
      <c r="G6" s="2"/>
    </row>
    <row r="7" spans="2:7">
      <c r="B7" t="s">
        <v>27</v>
      </c>
      <c r="C7" t="s">
        <v>39</v>
      </c>
      <c r="D7" t="s">
        <v>42</v>
      </c>
      <c r="E7" t="s">
        <v>79</v>
      </c>
      <c r="F7" s="1">
        <v>26145</v>
      </c>
      <c r="G7" s="2">
        <v>4.5999999999999996</v>
      </c>
    </row>
    <row r="8" spans="2:7">
      <c r="B8" t="s">
        <v>27</v>
      </c>
      <c r="C8" t="s">
        <v>39</v>
      </c>
      <c r="D8" t="s">
        <v>42</v>
      </c>
      <c r="E8" t="s">
        <v>72</v>
      </c>
      <c r="F8" s="1">
        <v>23769</v>
      </c>
      <c r="G8" s="2"/>
    </row>
    <row r="9" spans="2:7">
      <c r="B9" t="s">
        <v>27</v>
      </c>
      <c r="C9" t="s">
        <v>39</v>
      </c>
      <c r="D9" t="s">
        <v>42</v>
      </c>
      <c r="E9" t="s">
        <v>70</v>
      </c>
      <c r="F9" s="1">
        <v>23350</v>
      </c>
      <c r="G9" s="2"/>
    </row>
    <row r="10" spans="2:7">
      <c r="B10" t="s">
        <v>27</v>
      </c>
      <c r="C10" t="s">
        <v>39</v>
      </c>
      <c r="D10" t="s">
        <v>42</v>
      </c>
      <c r="E10" t="s">
        <v>76</v>
      </c>
      <c r="F10" s="1">
        <v>12980</v>
      </c>
      <c r="G10" s="2">
        <v>5</v>
      </c>
    </row>
    <row r="11" spans="2:7">
      <c r="B11" t="s">
        <v>27</v>
      </c>
      <c r="C11" t="s">
        <v>39</v>
      </c>
      <c r="D11" t="s">
        <v>42</v>
      </c>
      <c r="E11" t="s">
        <v>73</v>
      </c>
      <c r="F11" s="1">
        <v>13980</v>
      </c>
      <c r="G11" s="2"/>
    </row>
    <row r="12" spans="2:7">
      <c r="B12" t="s">
        <v>27</v>
      </c>
      <c r="C12" t="s">
        <v>39</v>
      </c>
      <c r="D12" t="s">
        <v>42</v>
      </c>
      <c r="E12" t="s">
        <v>65</v>
      </c>
      <c r="F12" s="1">
        <v>28990</v>
      </c>
      <c r="G12" s="2"/>
    </row>
    <row r="13" spans="2:7">
      <c r="B13" t="s">
        <v>27</v>
      </c>
      <c r="C13" t="s">
        <v>39</v>
      </c>
      <c r="D13" t="s">
        <v>42</v>
      </c>
      <c r="E13" t="s">
        <v>69</v>
      </c>
      <c r="F13" s="1">
        <v>22410</v>
      </c>
      <c r="G13" s="2"/>
    </row>
    <row r="14" spans="2:7">
      <c r="B14" t="s">
        <v>27</v>
      </c>
      <c r="C14" t="s">
        <v>39</v>
      </c>
      <c r="D14" t="s">
        <v>42</v>
      </c>
      <c r="E14" t="s">
        <v>67</v>
      </c>
      <c r="F14" s="1">
        <v>29950</v>
      </c>
      <c r="G14" s="2"/>
    </row>
    <row r="15" spans="2:7">
      <c r="B15" t="s">
        <v>27</v>
      </c>
      <c r="C15" t="s">
        <v>39</v>
      </c>
      <c r="D15" t="s">
        <v>42</v>
      </c>
      <c r="E15" t="s">
        <v>66</v>
      </c>
      <c r="F15" s="1">
        <v>17990</v>
      </c>
      <c r="G15" s="2"/>
    </row>
    <row r="16" spans="2:7">
      <c r="B16" t="s">
        <v>27</v>
      </c>
      <c r="C16" t="s">
        <v>39</v>
      </c>
      <c r="D16" t="s">
        <v>42</v>
      </c>
      <c r="E16" t="s">
        <v>74</v>
      </c>
      <c r="F16" s="1">
        <v>14290</v>
      </c>
      <c r="G16" s="2"/>
    </row>
    <row r="17" spans="2:7">
      <c r="B17" t="s">
        <v>27</v>
      </c>
      <c r="C17" t="s">
        <v>39</v>
      </c>
      <c r="D17" t="s">
        <v>42</v>
      </c>
      <c r="E17" t="s">
        <v>74</v>
      </c>
      <c r="F17" s="1">
        <v>14290</v>
      </c>
      <c r="G17" s="2">
        <v>5</v>
      </c>
    </row>
    <row r="18" spans="2:7">
      <c r="B18" t="s">
        <v>27</v>
      </c>
      <c r="C18" t="s">
        <v>39</v>
      </c>
      <c r="D18" t="s">
        <v>42</v>
      </c>
      <c r="E18" t="s">
        <v>68</v>
      </c>
      <c r="F18" s="1">
        <v>23390</v>
      </c>
      <c r="G18" s="2"/>
    </row>
    <row r="19" spans="2:7">
      <c r="B19" t="s">
        <v>27</v>
      </c>
      <c r="C19" t="s">
        <v>39</v>
      </c>
      <c r="D19" t="s">
        <v>42</v>
      </c>
      <c r="E19" t="s">
        <v>78</v>
      </c>
      <c r="F19" s="1">
        <v>18790</v>
      </c>
      <c r="G19" s="2">
        <v>4.9000000000000004</v>
      </c>
    </row>
    <row r="20" spans="2:7">
      <c r="B20" t="s">
        <v>27</v>
      </c>
      <c r="C20" t="s">
        <v>39</v>
      </c>
      <c r="D20" t="s">
        <v>42</v>
      </c>
      <c r="E20" t="s">
        <v>78</v>
      </c>
      <c r="F20" s="1">
        <v>13790</v>
      </c>
      <c r="G20" s="2">
        <v>5</v>
      </c>
    </row>
    <row r="21" spans="2:7">
      <c r="B21" t="s">
        <v>27</v>
      </c>
      <c r="C21" t="s">
        <v>39</v>
      </c>
      <c r="D21" t="s">
        <v>42</v>
      </c>
      <c r="E21" t="s">
        <v>71</v>
      </c>
      <c r="F21" s="1">
        <v>23350</v>
      </c>
      <c r="G21" s="2"/>
    </row>
    <row r="22" spans="2:7">
      <c r="B22" t="s">
        <v>27</v>
      </c>
      <c r="C22" t="s">
        <v>39</v>
      </c>
      <c r="D22" t="s">
        <v>43</v>
      </c>
      <c r="E22" t="s">
        <v>87</v>
      </c>
      <c r="F22" s="1">
        <v>13900</v>
      </c>
      <c r="G22" s="2">
        <v>4.9000000000000004</v>
      </c>
    </row>
    <row r="23" spans="2:7">
      <c r="B23" t="s">
        <v>27</v>
      </c>
      <c r="C23" t="s">
        <v>39</v>
      </c>
      <c r="D23" t="s">
        <v>43</v>
      </c>
      <c r="E23" t="s">
        <v>83</v>
      </c>
      <c r="F23" s="1">
        <v>16999</v>
      </c>
      <c r="G23" s="2">
        <v>5</v>
      </c>
    </row>
    <row r="24" spans="2:7">
      <c r="B24" t="s">
        <v>27</v>
      </c>
      <c r="C24" t="s">
        <v>39</v>
      </c>
      <c r="D24" t="s">
        <v>43</v>
      </c>
      <c r="E24" t="s">
        <v>89</v>
      </c>
      <c r="F24" s="1">
        <v>32790</v>
      </c>
      <c r="G24" s="2">
        <v>4.9000000000000004</v>
      </c>
    </row>
    <row r="25" spans="2:7">
      <c r="B25" t="s">
        <v>27</v>
      </c>
      <c r="C25" t="s">
        <v>39</v>
      </c>
      <c r="D25" t="s">
        <v>43</v>
      </c>
      <c r="E25" t="s">
        <v>81</v>
      </c>
      <c r="F25" s="1">
        <v>17880</v>
      </c>
      <c r="G25" s="2">
        <v>4.9000000000000004</v>
      </c>
    </row>
    <row r="26" spans="2:7">
      <c r="B26" t="s">
        <v>27</v>
      </c>
      <c r="C26" t="s">
        <v>39</v>
      </c>
      <c r="D26" t="s">
        <v>43</v>
      </c>
      <c r="E26" t="s">
        <v>80</v>
      </c>
      <c r="F26" s="1">
        <v>14405</v>
      </c>
      <c r="G26" s="2">
        <v>5</v>
      </c>
    </row>
    <row r="27" spans="2:7">
      <c r="B27" t="s">
        <v>27</v>
      </c>
      <c r="C27" t="s">
        <v>39</v>
      </c>
      <c r="D27" t="s">
        <v>43</v>
      </c>
      <c r="E27" t="s">
        <v>84</v>
      </c>
      <c r="F27" s="1">
        <v>26399</v>
      </c>
      <c r="G27" s="2">
        <v>5</v>
      </c>
    </row>
    <row r="28" spans="2:7">
      <c r="B28" t="s">
        <v>27</v>
      </c>
      <c r="C28" t="s">
        <v>39</v>
      </c>
      <c r="D28" t="s">
        <v>43</v>
      </c>
      <c r="E28" t="s">
        <v>85</v>
      </c>
      <c r="F28" s="1">
        <v>19920</v>
      </c>
      <c r="G28" s="2">
        <v>5</v>
      </c>
    </row>
    <row r="29" spans="2:7">
      <c r="B29" t="s">
        <v>27</v>
      </c>
      <c r="C29" t="s">
        <v>39</v>
      </c>
      <c r="D29" t="s">
        <v>43</v>
      </c>
      <c r="E29" t="s">
        <v>82</v>
      </c>
      <c r="F29" s="1">
        <v>19175</v>
      </c>
      <c r="G29" s="2">
        <v>5</v>
      </c>
    </row>
    <row r="30" spans="2:7">
      <c r="B30" t="s">
        <v>27</v>
      </c>
      <c r="C30" t="s">
        <v>39</v>
      </c>
      <c r="D30" t="s">
        <v>43</v>
      </c>
      <c r="E30" t="s">
        <v>90</v>
      </c>
      <c r="F30" s="1">
        <v>34055</v>
      </c>
      <c r="G30" s="2">
        <v>4.9000000000000004</v>
      </c>
    </row>
    <row r="31" spans="2:7">
      <c r="B31" t="s">
        <v>27</v>
      </c>
      <c r="C31" t="s">
        <v>39</v>
      </c>
      <c r="D31" t="s">
        <v>43</v>
      </c>
      <c r="E31" t="s">
        <v>66</v>
      </c>
      <c r="F31" s="1">
        <v>17490</v>
      </c>
      <c r="G31" s="2">
        <v>5</v>
      </c>
    </row>
    <row r="32" spans="2:7">
      <c r="B32" t="s">
        <v>27</v>
      </c>
      <c r="C32" t="s">
        <v>39</v>
      </c>
      <c r="D32" t="s">
        <v>43</v>
      </c>
      <c r="E32" t="s">
        <v>74</v>
      </c>
      <c r="F32" s="1">
        <v>14290</v>
      </c>
      <c r="G32" s="2">
        <v>5</v>
      </c>
    </row>
    <row r="33" spans="2:7">
      <c r="B33" t="s">
        <v>27</v>
      </c>
      <c r="C33" t="s">
        <v>39</v>
      </c>
      <c r="D33" t="s">
        <v>43</v>
      </c>
      <c r="E33" t="s">
        <v>88</v>
      </c>
      <c r="F33" s="1">
        <v>12990</v>
      </c>
      <c r="G33" s="2">
        <v>5</v>
      </c>
    </row>
    <row r="34" spans="2:7">
      <c r="B34" t="s">
        <v>27</v>
      </c>
      <c r="C34" t="s">
        <v>39</v>
      </c>
      <c r="D34" t="s">
        <v>43</v>
      </c>
      <c r="E34" t="s">
        <v>86</v>
      </c>
      <c r="F34" s="1">
        <v>17067</v>
      </c>
      <c r="G34" s="2">
        <v>4</v>
      </c>
    </row>
    <row r="35" spans="2:7">
      <c r="B35" t="s">
        <v>27</v>
      </c>
      <c r="C35" t="s">
        <v>31</v>
      </c>
      <c r="D35" t="s">
        <v>42</v>
      </c>
      <c r="E35" t="s">
        <v>98</v>
      </c>
      <c r="F35" s="1">
        <v>6999</v>
      </c>
      <c r="G35" s="2">
        <v>5</v>
      </c>
    </row>
    <row r="36" spans="2:7">
      <c r="B36" t="s">
        <v>27</v>
      </c>
      <c r="C36" t="s">
        <v>31</v>
      </c>
      <c r="D36" t="s">
        <v>42</v>
      </c>
      <c r="E36" t="s">
        <v>92</v>
      </c>
      <c r="F36" s="1">
        <v>1159.17</v>
      </c>
      <c r="G36" s="2"/>
    </row>
    <row r="37" spans="2:7">
      <c r="B37" t="s">
        <v>27</v>
      </c>
      <c r="C37" t="s">
        <v>31</v>
      </c>
      <c r="D37" t="s">
        <v>42</v>
      </c>
      <c r="E37" t="s">
        <v>95</v>
      </c>
      <c r="F37" s="1">
        <v>10659</v>
      </c>
      <c r="G37" s="2"/>
    </row>
    <row r="38" spans="2:7">
      <c r="B38" t="s">
        <v>27</v>
      </c>
      <c r="C38" t="s">
        <v>31</v>
      </c>
      <c r="D38" t="s">
        <v>42</v>
      </c>
      <c r="E38" t="s">
        <v>101</v>
      </c>
      <c r="F38" s="1">
        <v>3500</v>
      </c>
      <c r="G38" s="2"/>
    </row>
    <row r="39" spans="2:7">
      <c r="B39" t="s">
        <v>27</v>
      </c>
      <c r="C39" t="s">
        <v>31</v>
      </c>
      <c r="D39" t="s">
        <v>42</v>
      </c>
      <c r="E39" t="s">
        <v>97</v>
      </c>
      <c r="F39" s="1">
        <v>7490</v>
      </c>
      <c r="G39" s="2">
        <v>5</v>
      </c>
    </row>
    <row r="40" spans="2:7">
      <c r="B40" t="s">
        <v>27</v>
      </c>
      <c r="C40" t="s">
        <v>31</v>
      </c>
      <c r="D40" t="s">
        <v>42</v>
      </c>
      <c r="E40" t="s">
        <v>96</v>
      </c>
      <c r="F40" s="1">
        <v>10900</v>
      </c>
      <c r="G40" s="2"/>
    </row>
    <row r="41" spans="2:7">
      <c r="B41" t="s">
        <v>27</v>
      </c>
      <c r="C41" t="s">
        <v>31</v>
      </c>
      <c r="D41" t="s">
        <v>42</v>
      </c>
      <c r="E41" t="s">
        <v>100</v>
      </c>
      <c r="F41" s="1">
        <v>4990</v>
      </c>
      <c r="G41" s="2">
        <v>5</v>
      </c>
    </row>
    <row r="42" spans="2:7">
      <c r="B42" t="s">
        <v>27</v>
      </c>
      <c r="C42" t="s">
        <v>31</v>
      </c>
      <c r="D42" t="s">
        <v>42</v>
      </c>
      <c r="E42" t="s">
        <v>91</v>
      </c>
      <c r="F42" s="1">
        <v>1047.45</v>
      </c>
      <c r="G42" s="2"/>
    </row>
    <row r="43" spans="2:7">
      <c r="B43" t="s">
        <v>27</v>
      </c>
      <c r="C43" t="s">
        <v>31</v>
      </c>
      <c r="D43" t="s">
        <v>42</v>
      </c>
      <c r="E43" t="s">
        <v>91</v>
      </c>
      <c r="F43" s="1">
        <v>1045.21</v>
      </c>
      <c r="G43" s="2"/>
    </row>
    <row r="44" spans="2:7">
      <c r="B44" t="s">
        <v>27</v>
      </c>
      <c r="C44" t="s">
        <v>31</v>
      </c>
      <c r="D44" t="s">
        <v>42</v>
      </c>
      <c r="E44" t="s">
        <v>94</v>
      </c>
      <c r="F44" s="1">
        <v>579.21</v>
      </c>
      <c r="G44" s="2"/>
    </row>
    <row r="45" spans="2:7">
      <c r="B45" t="s">
        <v>27</v>
      </c>
      <c r="C45" t="s">
        <v>31</v>
      </c>
      <c r="D45" t="s">
        <v>42</v>
      </c>
      <c r="E45" t="s">
        <v>94</v>
      </c>
      <c r="F45" s="1">
        <v>566.35</v>
      </c>
      <c r="G45" s="2">
        <v>5</v>
      </c>
    </row>
    <row r="46" spans="2:7">
      <c r="B46" t="s">
        <v>27</v>
      </c>
      <c r="C46" t="s">
        <v>31</v>
      </c>
      <c r="D46" t="s">
        <v>42</v>
      </c>
      <c r="E46" t="s">
        <v>93</v>
      </c>
      <c r="F46" s="1">
        <v>826.39</v>
      </c>
      <c r="G46" s="2"/>
    </row>
    <row r="47" spans="2:7">
      <c r="B47" t="s">
        <v>27</v>
      </c>
      <c r="C47" t="s">
        <v>31</v>
      </c>
      <c r="D47" t="s">
        <v>42</v>
      </c>
      <c r="E47" t="s">
        <v>99</v>
      </c>
      <c r="F47" s="1">
        <v>5899</v>
      </c>
      <c r="G47" s="2"/>
    </row>
    <row r="48" spans="2:7">
      <c r="B48" t="s">
        <v>27</v>
      </c>
      <c r="C48" t="s">
        <v>31</v>
      </c>
      <c r="D48" t="s">
        <v>43</v>
      </c>
      <c r="E48" t="s">
        <v>105</v>
      </c>
      <c r="F48" s="1">
        <v>670</v>
      </c>
      <c r="G48" s="2">
        <v>5</v>
      </c>
    </row>
    <row r="49" spans="2:7">
      <c r="B49" t="s">
        <v>27</v>
      </c>
      <c r="C49" t="s">
        <v>31</v>
      </c>
      <c r="D49" t="s">
        <v>43</v>
      </c>
      <c r="E49" t="s">
        <v>95</v>
      </c>
      <c r="F49" s="1">
        <v>10659</v>
      </c>
      <c r="G49" s="2">
        <v>4.9000000000000004</v>
      </c>
    </row>
    <row r="50" spans="2:7">
      <c r="B50" t="s">
        <v>27</v>
      </c>
      <c r="C50" t="s">
        <v>31</v>
      </c>
      <c r="D50" t="s">
        <v>43</v>
      </c>
      <c r="E50" t="s">
        <v>113</v>
      </c>
      <c r="F50" s="1">
        <v>20995</v>
      </c>
      <c r="G50" s="2">
        <v>4.9000000000000004</v>
      </c>
    </row>
    <row r="51" spans="2:7">
      <c r="B51" t="s">
        <v>27</v>
      </c>
      <c r="C51" t="s">
        <v>31</v>
      </c>
      <c r="D51" t="s">
        <v>43</v>
      </c>
      <c r="E51" t="s">
        <v>108</v>
      </c>
      <c r="F51" s="1">
        <v>6990</v>
      </c>
      <c r="G51" s="2">
        <v>5</v>
      </c>
    </row>
    <row r="52" spans="2:7">
      <c r="B52" t="s">
        <v>27</v>
      </c>
      <c r="C52" t="s">
        <v>31</v>
      </c>
      <c r="D52" t="s">
        <v>43</v>
      </c>
      <c r="E52" t="s">
        <v>111</v>
      </c>
      <c r="F52" s="1">
        <v>9180</v>
      </c>
      <c r="G52" s="2">
        <v>4.9000000000000004</v>
      </c>
    </row>
    <row r="53" spans="2:7">
      <c r="B53" t="s">
        <v>27</v>
      </c>
      <c r="C53" t="s">
        <v>31</v>
      </c>
      <c r="D53" t="s">
        <v>43</v>
      </c>
      <c r="E53" t="s">
        <v>107</v>
      </c>
      <c r="F53" s="1">
        <v>7990</v>
      </c>
      <c r="G53" s="2">
        <v>5</v>
      </c>
    </row>
    <row r="54" spans="2:7">
      <c r="B54" t="s">
        <v>27</v>
      </c>
      <c r="C54" t="s">
        <v>31</v>
      </c>
      <c r="D54" t="s">
        <v>43</v>
      </c>
      <c r="E54" t="s">
        <v>112</v>
      </c>
      <c r="F54" s="1">
        <v>9286</v>
      </c>
      <c r="G54" s="2">
        <v>4.8</v>
      </c>
    </row>
    <row r="55" spans="2:7">
      <c r="B55" t="s">
        <v>27</v>
      </c>
      <c r="C55" t="s">
        <v>31</v>
      </c>
      <c r="D55" t="s">
        <v>43</v>
      </c>
      <c r="E55" t="s">
        <v>103</v>
      </c>
      <c r="F55" s="1">
        <v>7990</v>
      </c>
      <c r="G55" s="2">
        <v>5</v>
      </c>
    </row>
    <row r="56" spans="2:7">
      <c r="B56" t="s">
        <v>27</v>
      </c>
      <c r="C56" t="s">
        <v>31</v>
      </c>
      <c r="D56" t="s">
        <v>43</v>
      </c>
      <c r="E56" t="s">
        <v>110</v>
      </c>
      <c r="F56" s="1">
        <v>10900</v>
      </c>
      <c r="G56" s="2">
        <v>4.9000000000000004</v>
      </c>
    </row>
    <row r="57" spans="2:7">
      <c r="B57" t="s">
        <v>27</v>
      </c>
      <c r="C57" t="s">
        <v>31</v>
      </c>
      <c r="D57" t="s">
        <v>43</v>
      </c>
      <c r="E57" t="s">
        <v>102</v>
      </c>
      <c r="F57" s="1">
        <v>11618</v>
      </c>
      <c r="G57" s="2">
        <v>5</v>
      </c>
    </row>
    <row r="58" spans="2:7">
      <c r="B58" t="s">
        <v>27</v>
      </c>
      <c r="C58" t="s">
        <v>31</v>
      </c>
      <c r="D58" t="s">
        <v>43</v>
      </c>
      <c r="E58" t="s">
        <v>106</v>
      </c>
      <c r="F58" s="1">
        <v>563</v>
      </c>
      <c r="G58" s="2">
        <v>4.4000000000000004</v>
      </c>
    </row>
    <row r="59" spans="2:7">
      <c r="B59" t="s">
        <v>27</v>
      </c>
      <c r="C59" t="s">
        <v>31</v>
      </c>
      <c r="D59" t="s">
        <v>43</v>
      </c>
      <c r="E59" t="s">
        <v>109</v>
      </c>
      <c r="F59" s="1">
        <v>1624</v>
      </c>
      <c r="G59" s="2"/>
    </row>
    <row r="60" spans="2:7">
      <c r="B60" t="s">
        <v>27</v>
      </c>
      <c r="C60" t="s">
        <v>31</v>
      </c>
      <c r="D60" t="s">
        <v>43</v>
      </c>
      <c r="E60" t="s">
        <v>104</v>
      </c>
      <c r="F60" s="1">
        <v>429</v>
      </c>
      <c r="G60" s="2">
        <v>4</v>
      </c>
    </row>
    <row r="61" spans="2:7">
      <c r="B61" t="s">
        <v>27</v>
      </c>
      <c r="C61" t="s">
        <v>35</v>
      </c>
      <c r="D61" t="s">
        <v>42</v>
      </c>
      <c r="E61" t="s">
        <v>121</v>
      </c>
      <c r="F61" s="1">
        <v>9999</v>
      </c>
      <c r="G61" s="2">
        <v>5</v>
      </c>
    </row>
    <row r="62" spans="2:7">
      <c r="B62" t="s">
        <v>27</v>
      </c>
      <c r="C62" t="s">
        <v>35</v>
      </c>
      <c r="D62" t="s">
        <v>42</v>
      </c>
      <c r="E62" t="s">
        <v>114</v>
      </c>
      <c r="F62" s="1">
        <v>15619</v>
      </c>
      <c r="G62" s="2"/>
    </row>
    <row r="63" spans="2:7">
      <c r="B63" t="s">
        <v>27</v>
      </c>
      <c r="C63" t="s">
        <v>35</v>
      </c>
      <c r="D63" t="s">
        <v>42</v>
      </c>
      <c r="E63" t="s">
        <v>134</v>
      </c>
      <c r="F63" s="1">
        <v>5990</v>
      </c>
      <c r="G63" s="2">
        <v>5</v>
      </c>
    </row>
    <row r="64" spans="2:7">
      <c r="B64" t="s">
        <v>27</v>
      </c>
      <c r="C64" t="s">
        <v>35</v>
      </c>
      <c r="D64" t="s">
        <v>42</v>
      </c>
      <c r="E64" t="s">
        <v>122</v>
      </c>
      <c r="F64" s="1">
        <v>7790</v>
      </c>
      <c r="G64" s="2"/>
    </row>
    <row r="65" spans="2:7">
      <c r="B65" t="s">
        <v>27</v>
      </c>
      <c r="C65" t="s">
        <v>35</v>
      </c>
      <c r="D65" t="s">
        <v>42</v>
      </c>
      <c r="E65" t="s">
        <v>118</v>
      </c>
      <c r="F65" s="1">
        <v>10990</v>
      </c>
      <c r="G65" s="2">
        <v>5</v>
      </c>
    </row>
    <row r="66" spans="2:7">
      <c r="B66" t="s">
        <v>27</v>
      </c>
      <c r="C66" t="s">
        <v>35</v>
      </c>
      <c r="D66" t="s">
        <v>42</v>
      </c>
      <c r="E66" t="s">
        <v>124</v>
      </c>
      <c r="F66" s="1">
        <v>11900</v>
      </c>
      <c r="G66" s="2">
        <v>5</v>
      </c>
    </row>
    <row r="67" spans="2:7">
      <c r="B67" t="s">
        <v>27</v>
      </c>
      <c r="C67" t="s">
        <v>35</v>
      </c>
      <c r="D67" t="s">
        <v>42</v>
      </c>
      <c r="E67" t="s">
        <v>132</v>
      </c>
      <c r="F67" s="1">
        <v>5500</v>
      </c>
      <c r="G67" s="2">
        <v>4.7</v>
      </c>
    </row>
    <row r="68" spans="2:7">
      <c r="B68" t="s">
        <v>27</v>
      </c>
      <c r="C68" t="s">
        <v>35</v>
      </c>
      <c r="D68" t="s">
        <v>42</v>
      </c>
      <c r="E68" t="s">
        <v>126</v>
      </c>
      <c r="F68" s="1">
        <v>13090</v>
      </c>
      <c r="G68" s="2"/>
    </row>
    <row r="69" spans="2:7">
      <c r="B69" t="s">
        <v>27</v>
      </c>
      <c r="C69" t="s">
        <v>35</v>
      </c>
      <c r="D69" t="s">
        <v>42</v>
      </c>
      <c r="E69" t="s">
        <v>125</v>
      </c>
      <c r="F69" s="1">
        <v>13090</v>
      </c>
      <c r="G69" s="2"/>
    </row>
    <row r="70" spans="2:7">
      <c r="B70" t="s">
        <v>27</v>
      </c>
      <c r="C70" t="s">
        <v>35</v>
      </c>
      <c r="D70" t="s">
        <v>42</v>
      </c>
      <c r="E70" t="s">
        <v>131</v>
      </c>
      <c r="F70" s="1">
        <v>8130</v>
      </c>
      <c r="G70" s="2">
        <v>5</v>
      </c>
    </row>
    <row r="71" spans="2:7">
      <c r="B71" t="s">
        <v>27</v>
      </c>
      <c r="C71" t="s">
        <v>35</v>
      </c>
      <c r="D71" t="s">
        <v>42</v>
      </c>
      <c r="E71" t="s">
        <v>131</v>
      </c>
      <c r="F71" s="1">
        <v>6849</v>
      </c>
      <c r="G71" s="2">
        <v>5</v>
      </c>
    </row>
    <row r="72" spans="2:7">
      <c r="B72" t="s">
        <v>27</v>
      </c>
      <c r="C72" t="s">
        <v>35</v>
      </c>
      <c r="D72" t="s">
        <v>42</v>
      </c>
      <c r="E72" t="s">
        <v>128</v>
      </c>
      <c r="F72" s="1">
        <v>5133</v>
      </c>
      <c r="G72" s="2"/>
    </row>
    <row r="73" spans="2:7">
      <c r="B73" t="s">
        <v>27</v>
      </c>
      <c r="C73" t="s">
        <v>35</v>
      </c>
      <c r="D73" t="s">
        <v>42</v>
      </c>
      <c r="E73" t="s">
        <v>129</v>
      </c>
      <c r="F73" s="1">
        <v>6900</v>
      </c>
      <c r="G73" s="2">
        <v>1</v>
      </c>
    </row>
    <row r="74" spans="2:7">
      <c r="B74" t="s">
        <v>27</v>
      </c>
      <c r="C74" t="s">
        <v>35</v>
      </c>
      <c r="D74" t="s">
        <v>42</v>
      </c>
      <c r="E74" t="s">
        <v>119</v>
      </c>
      <c r="F74" s="1">
        <v>10000</v>
      </c>
      <c r="G74" s="2"/>
    </row>
    <row r="75" spans="2:7">
      <c r="B75" t="s">
        <v>27</v>
      </c>
      <c r="C75" t="s">
        <v>35</v>
      </c>
      <c r="D75" t="s">
        <v>42</v>
      </c>
      <c r="E75" t="s">
        <v>127</v>
      </c>
      <c r="F75" s="1">
        <v>5820</v>
      </c>
      <c r="G75" s="2"/>
    </row>
    <row r="76" spans="2:7">
      <c r="B76" t="s">
        <v>27</v>
      </c>
      <c r="C76" t="s">
        <v>35</v>
      </c>
      <c r="D76" t="s">
        <v>42</v>
      </c>
      <c r="E76" t="s">
        <v>130</v>
      </c>
      <c r="F76" s="1">
        <v>5120</v>
      </c>
      <c r="G76" s="2"/>
    </row>
    <row r="77" spans="2:7">
      <c r="B77" t="s">
        <v>27</v>
      </c>
      <c r="C77" t="s">
        <v>35</v>
      </c>
      <c r="D77" t="s">
        <v>42</v>
      </c>
      <c r="E77" t="s">
        <v>123</v>
      </c>
      <c r="F77" s="1">
        <v>12119</v>
      </c>
      <c r="G77" s="2"/>
    </row>
    <row r="78" spans="2:7">
      <c r="B78" t="s">
        <v>27</v>
      </c>
      <c r="C78" t="s">
        <v>35</v>
      </c>
      <c r="D78" t="s">
        <v>42</v>
      </c>
      <c r="E78" t="s">
        <v>116</v>
      </c>
      <c r="F78" s="1">
        <v>11819</v>
      </c>
      <c r="G78" s="2"/>
    </row>
    <row r="79" spans="2:7">
      <c r="B79" t="s">
        <v>27</v>
      </c>
      <c r="C79" t="s">
        <v>35</v>
      </c>
      <c r="D79" t="s">
        <v>42</v>
      </c>
      <c r="E79" t="s">
        <v>115</v>
      </c>
      <c r="F79" s="1">
        <v>11900</v>
      </c>
      <c r="G79" s="2"/>
    </row>
    <row r="80" spans="2:7">
      <c r="B80" t="s">
        <v>27</v>
      </c>
      <c r="C80" t="s">
        <v>35</v>
      </c>
      <c r="D80" t="s">
        <v>42</v>
      </c>
      <c r="E80" t="s">
        <v>135</v>
      </c>
      <c r="F80" s="1">
        <v>12495</v>
      </c>
      <c r="G80" s="2">
        <v>5</v>
      </c>
    </row>
    <row r="81" spans="2:7">
      <c r="B81" t="s">
        <v>27</v>
      </c>
      <c r="C81" t="s">
        <v>35</v>
      </c>
      <c r="D81" t="s">
        <v>42</v>
      </c>
      <c r="E81" t="s">
        <v>117</v>
      </c>
      <c r="F81" s="1">
        <v>13900</v>
      </c>
      <c r="G81" s="2"/>
    </row>
    <row r="82" spans="2:7">
      <c r="B82" t="s">
        <v>27</v>
      </c>
      <c r="C82" t="s">
        <v>35</v>
      </c>
      <c r="D82" t="s">
        <v>42</v>
      </c>
      <c r="E82" t="s">
        <v>120</v>
      </c>
      <c r="F82" s="1">
        <v>12693</v>
      </c>
      <c r="G82" s="2">
        <v>5</v>
      </c>
    </row>
    <row r="83" spans="2:7">
      <c r="B83" t="s">
        <v>27</v>
      </c>
      <c r="C83" t="s">
        <v>35</v>
      </c>
      <c r="D83" t="s">
        <v>42</v>
      </c>
      <c r="E83" t="s">
        <v>133</v>
      </c>
      <c r="F83" s="1">
        <v>6417.87</v>
      </c>
      <c r="G83" s="2"/>
    </row>
    <row r="84" spans="2:7">
      <c r="B84" t="s">
        <v>27</v>
      </c>
      <c r="C84" t="s">
        <v>35</v>
      </c>
      <c r="D84" t="s">
        <v>43</v>
      </c>
      <c r="E84" t="s">
        <v>121</v>
      </c>
      <c r="F84" s="1">
        <v>9999</v>
      </c>
      <c r="G84" s="2">
        <v>5</v>
      </c>
    </row>
    <row r="85" spans="2:7">
      <c r="B85" t="s">
        <v>27</v>
      </c>
      <c r="C85" t="s">
        <v>35</v>
      </c>
      <c r="D85" t="s">
        <v>43</v>
      </c>
      <c r="E85" t="s">
        <v>137</v>
      </c>
      <c r="F85" s="1">
        <v>6980</v>
      </c>
      <c r="G85" s="2">
        <v>5</v>
      </c>
    </row>
    <row r="86" spans="2:7">
      <c r="B86" t="s">
        <v>27</v>
      </c>
      <c r="C86" t="s">
        <v>35</v>
      </c>
      <c r="D86" t="s">
        <v>43</v>
      </c>
      <c r="E86" t="s">
        <v>142</v>
      </c>
      <c r="F86" s="1">
        <v>15927</v>
      </c>
      <c r="G86" s="2"/>
    </row>
    <row r="87" spans="2:7">
      <c r="B87" t="s">
        <v>27</v>
      </c>
      <c r="C87" t="s">
        <v>35</v>
      </c>
      <c r="D87" t="s">
        <v>43</v>
      </c>
      <c r="E87" t="s">
        <v>143</v>
      </c>
      <c r="F87" s="1">
        <v>16009</v>
      </c>
      <c r="G87" s="2">
        <v>4.9000000000000004</v>
      </c>
    </row>
    <row r="88" spans="2:7">
      <c r="B88" t="s">
        <v>27</v>
      </c>
      <c r="C88" t="s">
        <v>35</v>
      </c>
      <c r="D88" t="s">
        <v>43</v>
      </c>
      <c r="E88" t="s">
        <v>114</v>
      </c>
      <c r="F88" s="1">
        <v>15459</v>
      </c>
      <c r="G88" s="2">
        <v>5</v>
      </c>
    </row>
    <row r="89" spans="2:7">
      <c r="B89" t="s">
        <v>27</v>
      </c>
      <c r="C89" t="s">
        <v>35</v>
      </c>
      <c r="D89" t="s">
        <v>43</v>
      </c>
      <c r="E89" t="s">
        <v>140</v>
      </c>
      <c r="F89" s="1">
        <v>16703</v>
      </c>
      <c r="G89" s="2">
        <v>5</v>
      </c>
    </row>
    <row r="90" spans="2:7">
      <c r="B90" t="s">
        <v>27</v>
      </c>
      <c r="C90" t="s">
        <v>35</v>
      </c>
      <c r="D90" t="s">
        <v>43</v>
      </c>
      <c r="E90" t="s">
        <v>145</v>
      </c>
      <c r="F90" s="1">
        <v>10747</v>
      </c>
      <c r="G90" s="2">
        <v>5</v>
      </c>
    </row>
    <row r="91" spans="2:7">
      <c r="B91" t="s">
        <v>27</v>
      </c>
      <c r="C91" t="s">
        <v>35</v>
      </c>
      <c r="D91" t="s">
        <v>43</v>
      </c>
      <c r="E91" t="s">
        <v>139</v>
      </c>
      <c r="F91" s="1">
        <v>8690</v>
      </c>
      <c r="G91" s="2">
        <v>4.9000000000000004</v>
      </c>
    </row>
    <row r="92" spans="2:7">
      <c r="B92" t="s">
        <v>27</v>
      </c>
      <c r="C92" t="s">
        <v>35</v>
      </c>
      <c r="D92" t="s">
        <v>43</v>
      </c>
      <c r="E92" t="s">
        <v>138</v>
      </c>
      <c r="F92" s="1">
        <v>8490</v>
      </c>
      <c r="G92" s="2">
        <v>5</v>
      </c>
    </row>
    <row r="93" spans="2:7">
      <c r="B93" t="s">
        <v>27</v>
      </c>
      <c r="C93" t="s">
        <v>35</v>
      </c>
      <c r="D93" t="s">
        <v>43</v>
      </c>
      <c r="E93" t="s">
        <v>122</v>
      </c>
      <c r="F93" s="1">
        <v>7790</v>
      </c>
      <c r="G93" s="2">
        <v>5</v>
      </c>
    </row>
    <row r="94" spans="2:7">
      <c r="B94" t="s">
        <v>27</v>
      </c>
      <c r="C94" t="s">
        <v>35</v>
      </c>
      <c r="D94" t="s">
        <v>43</v>
      </c>
      <c r="E94" t="s">
        <v>118</v>
      </c>
      <c r="F94" s="1">
        <v>10590</v>
      </c>
      <c r="G94" s="2">
        <v>5</v>
      </c>
    </row>
    <row r="95" spans="2:7">
      <c r="B95" t="s">
        <v>27</v>
      </c>
      <c r="C95" t="s">
        <v>35</v>
      </c>
      <c r="D95" t="s">
        <v>43</v>
      </c>
      <c r="E95" t="s">
        <v>124</v>
      </c>
      <c r="F95" s="1">
        <v>10900</v>
      </c>
      <c r="G95" s="2">
        <v>5</v>
      </c>
    </row>
    <row r="96" spans="2:7">
      <c r="B96" t="s">
        <v>27</v>
      </c>
      <c r="C96" t="s">
        <v>35</v>
      </c>
      <c r="D96" t="s">
        <v>43</v>
      </c>
      <c r="E96" t="s">
        <v>141</v>
      </c>
      <c r="F96" s="1">
        <v>12619</v>
      </c>
      <c r="G96" s="2">
        <v>5</v>
      </c>
    </row>
    <row r="97" spans="2:7">
      <c r="B97" t="s">
        <v>27</v>
      </c>
      <c r="C97" t="s">
        <v>35</v>
      </c>
      <c r="D97" t="s">
        <v>43</v>
      </c>
      <c r="E97" t="s">
        <v>136</v>
      </c>
      <c r="F97" s="1">
        <v>7900</v>
      </c>
      <c r="G97" s="2">
        <v>5</v>
      </c>
    </row>
    <row r="98" spans="2:7">
      <c r="B98" t="s">
        <v>27</v>
      </c>
      <c r="C98" t="s">
        <v>35</v>
      </c>
      <c r="D98" t="s">
        <v>43</v>
      </c>
      <c r="E98" t="s">
        <v>144</v>
      </c>
      <c r="F98" s="1">
        <v>9520</v>
      </c>
      <c r="G98" s="2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7"/>
  <sheetViews>
    <sheetView workbookViewId="0">
      <selection activeCell="E23" sqref="E23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28</v>
      </c>
      <c r="C3" t="s">
        <v>32</v>
      </c>
      <c r="D3" t="s">
        <v>42</v>
      </c>
      <c r="E3" t="s">
        <v>54</v>
      </c>
      <c r="F3" s="1">
        <v>9990</v>
      </c>
      <c r="G3" s="2"/>
    </row>
    <row r="4" spans="2:7">
      <c r="B4" t="s">
        <v>28</v>
      </c>
      <c r="C4" t="s">
        <v>32</v>
      </c>
      <c r="D4" t="s">
        <v>42</v>
      </c>
      <c r="E4" t="s">
        <v>55</v>
      </c>
      <c r="F4" s="1">
        <v>3990</v>
      </c>
      <c r="G4" s="2"/>
    </row>
    <row r="5" spans="2:7">
      <c r="B5" t="s">
        <v>28</v>
      </c>
      <c r="C5" t="s">
        <v>32</v>
      </c>
      <c r="D5" t="s">
        <v>42</v>
      </c>
      <c r="E5" t="s">
        <v>55</v>
      </c>
      <c r="F5" s="1">
        <v>3990</v>
      </c>
      <c r="G5" s="2">
        <v>5</v>
      </c>
    </row>
    <row r="6" spans="2:7">
      <c r="B6" t="s">
        <v>28</v>
      </c>
      <c r="C6" t="s">
        <v>32</v>
      </c>
      <c r="D6" t="s">
        <v>42</v>
      </c>
      <c r="E6" t="s">
        <v>56</v>
      </c>
      <c r="F6" s="1">
        <v>3990</v>
      </c>
      <c r="G6" s="2"/>
    </row>
    <row r="7" spans="2:7">
      <c r="B7" t="s">
        <v>28</v>
      </c>
      <c r="C7" t="s">
        <v>32</v>
      </c>
      <c r="D7" t="s">
        <v>43</v>
      </c>
      <c r="E7" t="s">
        <v>57</v>
      </c>
      <c r="F7" s="1">
        <v>6500</v>
      </c>
      <c r="G7" s="2">
        <v>4.9000000000000004</v>
      </c>
    </row>
    <row r="8" spans="2:7">
      <c r="B8" t="s">
        <v>28</v>
      </c>
      <c r="C8" t="s">
        <v>32</v>
      </c>
      <c r="D8" t="s">
        <v>43</v>
      </c>
      <c r="E8" t="s">
        <v>55</v>
      </c>
      <c r="F8" s="1">
        <v>3690</v>
      </c>
      <c r="G8" s="2">
        <v>5</v>
      </c>
    </row>
    <row r="9" spans="2:7">
      <c r="B9" t="s">
        <v>28</v>
      </c>
      <c r="C9" t="s">
        <v>36</v>
      </c>
      <c r="D9" t="s">
        <v>42</v>
      </c>
      <c r="E9" t="s">
        <v>59</v>
      </c>
      <c r="F9" s="1">
        <v>4990</v>
      </c>
      <c r="G9" s="2">
        <v>5</v>
      </c>
    </row>
    <row r="10" spans="2:7">
      <c r="B10" t="s">
        <v>28</v>
      </c>
      <c r="C10" t="s">
        <v>36</v>
      </c>
      <c r="D10" t="s">
        <v>42</v>
      </c>
      <c r="E10" t="s">
        <v>58</v>
      </c>
      <c r="F10" s="1">
        <v>20980.7</v>
      </c>
      <c r="G10" s="2"/>
    </row>
    <row r="11" spans="2:7">
      <c r="B11" t="s">
        <v>28</v>
      </c>
      <c r="C11" t="s">
        <v>36</v>
      </c>
      <c r="D11" t="s">
        <v>43</v>
      </c>
      <c r="E11" t="s">
        <v>59</v>
      </c>
      <c r="F11" s="1">
        <v>4990</v>
      </c>
      <c r="G11" s="2">
        <v>4.9000000000000004</v>
      </c>
    </row>
    <row r="12" spans="2:7">
      <c r="B12" t="s">
        <v>28</v>
      </c>
      <c r="C12" t="s">
        <v>36</v>
      </c>
      <c r="D12" t="s">
        <v>43</v>
      </c>
      <c r="E12" t="s">
        <v>59</v>
      </c>
      <c r="F12" s="1">
        <v>4990</v>
      </c>
      <c r="G12" s="2">
        <v>5</v>
      </c>
    </row>
    <row r="13" spans="2:7">
      <c r="B13" t="s">
        <v>28</v>
      </c>
      <c r="C13" t="s">
        <v>36</v>
      </c>
      <c r="D13" t="s">
        <v>43</v>
      </c>
      <c r="E13" t="s">
        <v>60</v>
      </c>
      <c r="F13" s="1">
        <v>4080</v>
      </c>
      <c r="G13" s="2">
        <v>5</v>
      </c>
    </row>
    <row r="14" spans="2:7">
      <c r="B14" t="s">
        <v>28</v>
      </c>
      <c r="C14" t="s">
        <v>40</v>
      </c>
      <c r="D14" t="s">
        <v>42</v>
      </c>
      <c r="E14" t="s">
        <v>62</v>
      </c>
      <c r="F14" s="1">
        <v>14900</v>
      </c>
      <c r="G14" s="2"/>
    </row>
    <row r="15" spans="2:7">
      <c r="B15" t="s">
        <v>28</v>
      </c>
      <c r="C15" t="s">
        <v>40</v>
      </c>
      <c r="D15" t="s">
        <v>42</v>
      </c>
      <c r="E15" t="s">
        <v>61</v>
      </c>
      <c r="F15" s="1">
        <v>23900</v>
      </c>
      <c r="G15" s="2"/>
    </row>
    <row r="16" spans="2:7">
      <c r="B16" t="s">
        <v>28</v>
      </c>
      <c r="C16" t="s">
        <v>40</v>
      </c>
      <c r="D16" t="s">
        <v>43</v>
      </c>
      <c r="E16" t="s">
        <v>63</v>
      </c>
      <c r="F16" s="1">
        <v>19900</v>
      </c>
      <c r="G16" s="2">
        <v>4.9000000000000004</v>
      </c>
    </row>
    <row r="17" spans="2:7">
      <c r="B17" t="s">
        <v>28</v>
      </c>
      <c r="C17" t="s">
        <v>40</v>
      </c>
      <c r="D17" t="s">
        <v>43</v>
      </c>
      <c r="E17" t="s">
        <v>64</v>
      </c>
      <c r="F17" s="1">
        <v>19900</v>
      </c>
      <c r="G17" s="2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3"/>
  <sheetViews>
    <sheetView workbookViewId="0">
      <selection activeCell="E14" sqref="E14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26</v>
      </c>
      <c r="C3" t="s">
        <v>30</v>
      </c>
      <c r="D3" t="s">
        <v>42</v>
      </c>
      <c r="E3" t="s">
        <v>53</v>
      </c>
      <c r="F3" s="1">
        <v>20900</v>
      </c>
      <c r="G3" s="2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28"/>
  <sheetViews>
    <sheetView workbookViewId="0">
      <selection activeCell="B8" sqref="B8:G8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27</v>
      </c>
      <c r="C3" t="s">
        <v>31</v>
      </c>
      <c r="D3" t="s">
        <v>42</v>
      </c>
      <c r="E3" t="s">
        <v>98</v>
      </c>
      <c r="F3" s="1">
        <v>6999</v>
      </c>
      <c r="G3" s="2">
        <v>5</v>
      </c>
    </row>
    <row r="4" spans="2:7">
      <c r="B4" t="s">
        <v>27</v>
      </c>
      <c r="C4" t="s">
        <v>31</v>
      </c>
      <c r="D4" t="s">
        <v>42</v>
      </c>
      <c r="E4" t="s">
        <v>92</v>
      </c>
      <c r="F4" s="1">
        <v>1159.17</v>
      </c>
      <c r="G4" s="2"/>
    </row>
    <row r="5" spans="2:7">
      <c r="B5" t="s">
        <v>27</v>
      </c>
      <c r="C5" t="s">
        <v>31</v>
      </c>
      <c r="D5" t="s">
        <v>42</v>
      </c>
      <c r="E5" t="s">
        <v>95</v>
      </c>
      <c r="F5" s="1">
        <v>10659</v>
      </c>
      <c r="G5" s="2"/>
    </row>
    <row r="6" spans="2:7">
      <c r="B6" t="s">
        <v>27</v>
      </c>
      <c r="C6" t="s">
        <v>31</v>
      </c>
      <c r="D6" t="s">
        <v>42</v>
      </c>
      <c r="E6" t="s">
        <v>101</v>
      </c>
      <c r="F6" s="1">
        <v>3500</v>
      </c>
      <c r="G6" s="2"/>
    </row>
    <row r="7" spans="2:7">
      <c r="B7" t="s">
        <v>27</v>
      </c>
      <c r="C7" t="s">
        <v>31</v>
      </c>
      <c r="D7" t="s">
        <v>42</v>
      </c>
      <c r="E7" t="s">
        <v>97</v>
      </c>
      <c r="F7" s="1">
        <v>7490</v>
      </c>
      <c r="G7" s="2">
        <v>5</v>
      </c>
    </row>
    <row r="8" spans="2:7">
      <c r="B8" t="s">
        <v>27</v>
      </c>
      <c r="C8" t="s">
        <v>31</v>
      </c>
      <c r="D8" t="s">
        <v>42</v>
      </c>
      <c r="E8" t="s">
        <v>96</v>
      </c>
      <c r="F8" s="1">
        <v>10900</v>
      </c>
      <c r="G8" s="2"/>
    </row>
    <row r="9" spans="2:7">
      <c r="B9" t="s">
        <v>27</v>
      </c>
      <c r="C9" t="s">
        <v>31</v>
      </c>
      <c r="D9" t="s">
        <v>42</v>
      </c>
      <c r="E9" t="s">
        <v>100</v>
      </c>
      <c r="F9" s="1">
        <v>4990</v>
      </c>
      <c r="G9" s="2">
        <v>5</v>
      </c>
    </row>
    <row r="10" spans="2:7">
      <c r="B10" t="s">
        <v>27</v>
      </c>
      <c r="C10" t="s">
        <v>31</v>
      </c>
      <c r="D10" t="s">
        <v>42</v>
      </c>
      <c r="E10" t="s">
        <v>91</v>
      </c>
      <c r="F10" s="1">
        <v>1047.45</v>
      </c>
      <c r="G10" s="2"/>
    </row>
    <row r="11" spans="2:7">
      <c r="B11" t="s">
        <v>27</v>
      </c>
      <c r="C11" t="s">
        <v>31</v>
      </c>
      <c r="D11" t="s">
        <v>42</v>
      </c>
      <c r="E11" t="s">
        <v>91</v>
      </c>
      <c r="F11" s="1">
        <v>1045.21</v>
      </c>
      <c r="G11" s="2"/>
    </row>
    <row r="12" spans="2:7">
      <c r="B12" t="s">
        <v>27</v>
      </c>
      <c r="C12" t="s">
        <v>31</v>
      </c>
      <c r="D12" t="s">
        <v>42</v>
      </c>
      <c r="E12" t="s">
        <v>94</v>
      </c>
      <c r="F12" s="1">
        <v>579.21</v>
      </c>
      <c r="G12" s="2"/>
    </row>
    <row r="13" spans="2:7">
      <c r="B13" t="s">
        <v>27</v>
      </c>
      <c r="C13" t="s">
        <v>31</v>
      </c>
      <c r="D13" t="s">
        <v>42</v>
      </c>
      <c r="E13" t="s">
        <v>94</v>
      </c>
      <c r="F13" s="1">
        <v>566.35</v>
      </c>
      <c r="G13" s="2">
        <v>5</v>
      </c>
    </row>
    <row r="14" spans="2:7">
      <c r="B14" t="s">
        <v>27</v>
      </c>
      <c r="C14" t="s">
        <v>31</v>
      </c>
      <c r="D14" t="s">
        <v>42</v>
      </c>
      <c r="E14" t="s">
        <v>93</v>
      </c>
      <c r="F14" s="1">
        <v>826.39</v>
      </c>
      <c r="G14" s="2"/>
    </row>
    <row r="15" spans="2:7">
      <c r="B15" t="s">
        <v>27</v>
      </c>
      <c r="C15" t="s">
        <v>31</v>
      </c>
      <c r="D15" t="s">
        <v>42</v>
      </c>
      <c r="E15" t="s">
        <v>99</v>
      </c>
      <c r="F15" s="1">
        <v>5899</v>
      </c>
      <c r="G15" s="2"/>
    </row>
    <row r="16" spans="2:7">
      <c r="B16" t="s">
        <v>27</v>
      </c>
      <c r="C16" t="s">
        <v>31</v>
      </c>
      <c r="D16" t="s">
        <v>43</v>
      </c>
      <c r="E16" t="s">
        <v>105</v>
      </c>
      <c r="F16" s="1">
        <v>670</v>
      </c>
      <c r="G16" s="2">
        <v>5</v>
      </c>
    </row>
    <row r="17" spans="2:7">
      <c r="B17" t="s">
        <v>27</v>
      </c>
      <c r="C17" t="s">
        <v>31</v>
      </c>
      <c r="D17" t="s">
        <v>43</v>
      </c>
      <c r="E17" t="s">
        <v>95</v>
      </c>
      <c r="F17" s="1">
        <v>10659</v>
      </c>
      <c r="G17" s="2">
        <v>4.9000000000000004</v>
      </c>
    </row>
    <row r="18" spans="2:7">
      <c r="B18" t="s">
        <v>27</v>
      </c>
      <c r="C18" t="s">
        <v>31</v>
      </c>
      <c r="D18" t="s">
        <v>43</v>
      </c>
      <c r="E18" t="s">
        <v>113</v>
      </c>
      <c r="F18" s="1">
        <v>20995</v>
      </c>
      <c r="G18" s="2">
        <v>4.9000000000000004</v>
      </c>
    </row>
    <row r="19" spans="2:7">
      <c r="B19" t="s">
        <v>27</v>
      </c>
      <c r="C19" t="s">
        <v>31</v>
      </c>
      <c r="D19" t="s">
        <v>43</v>
      </c>
      <c r="E19" t="s">
        <v>108</v>
      </c>
      <c r="F19" s="1">
        <v>6990</v>
      </c>
      <c r="G19" s="2">
        <v>5</v>
      </c>
    </row>
    <row r="20" spans="2:7">
      <c r="B20" t="s">
        <v>27</v>
      </c>
      <c r="C20" t="s">
        <v>31</v>
      </c>
      <c r="D20" t="s">
        <v>43</v>
      </c>
      <c r="E20" t="s">
        <v>111</v>
      </c>
      <c r="F20" s="1">
        <v>9180</v>
      </c>
      <c r="G20" s="2">
        <v>4.9000000000000004</v>
      </c>
    </row>
    <row r="21" spans="2:7">
      <c r="B21" t="s">
        <v>27</v>
      </c>
      <c r="C21" t="s">
        <v>31</v>
      </c>
      <c r="D21" t="s">
        <v>43</v>
      </c>
      <c r="E21" t="s">
        <v>107</v>
      </c>
      <c r="F21" s="1">
        <v>7990</v>
      </c>
      <c r="G21" s="2">
        <v>5</v>
      </c>
    </row>
    <row r="22" spans="2:7">
      <c r="B22" t="s">
        <v>27</v>
      </c>
      <c r="C22" t="s">
        <v>31</v>
      </c>
      <c r="D22" t="s">
        <v>43</v>
      </c>
      <c r="E22" t="s">
        <v>112</v>
      </c>
      <c r="F22" s="1">
        <v>9286</v>
      </c>
      <c r="G22" s="2">
        <v>4.8</v>
      </c>
    </row>
    <row r="23" spans="2:7">
      <c r="B23" t="s">
        <v>27</v>
      </c>
      <c r="C23" t="s">
        <v>31</v>
      </c>
      <c r="D23" t="s">
        <v>43</v>
      </c>
      <c r="E23" t="s">
        <v>103</v>
      </c>
      <c r="F23" s="1">
        <v>7990</v>
      </c>
      <c r="G23" s="2">
        <v>5</v>
      </c>
    </row>
    <row r="24" spans="2:7">
      <c r="B24" t="s">
        <v>27</v>
      </c>
      <c r="C24" t="s">
        <v>31</v>
      </c>
      <c r="D24" t="s">
        <v>43</v>
      </c>
      <c r="E24" t="s">
        <v>110</v>
      </c>
      <c r="F24" s="1">
        <v>10900</v>
      </c>
      <c r="G24" s="2">
        <v>4.9000000000000004</v>
      </c>
    </row>
    <row r="25" spans="2:7">
      <c r="B25" t="s">
        <v>27</v>
      </c>
      <c r="C25" t="s">
        <v>31</v>
      </c>
      <c r="D25" t="s">
        <v>43</v>
      </c>
      <c r="E25" t="s">
        <v>102</v>
      </c>
      <c r="F25" s="1">
        <v>11618</v>
      </c>
      <c r="G25" s="2">
        <v>5</v>
      </c>
    </row>
    <row r="26" spans="2:7">
      <c r="B26" t="s">
        <v>27</v>
      </c>
      <c r="C26" t="s">
        <v>31</v>
      </c>
      <c r="D26" t="s">
        <v>43</v>
      </c>
      <c r="E26" t="s">
        <v>106</v>
      </c>
      <c r="F26" s="1">
        <v>563</v>
      </c>
      <c r="G26" s="2">
        <v>4.4000000000000004</v>
      </c>
    </row>
    <row r="27" spans="2:7">
      <c r="B27" t="s">
        <v>27</v>
      </c>
      <c r="C27" t="s">
        <v>31</v>
      </c>
      <c r="D27" t="s">
        <v>43</v>
      </c>
      <c r="E27" t="s">
        <v>109</v>
      </c>
      <c r="F27" s="1">
        <v>1624</v>
      </c>
      <c r="G27" s="2"/>
    </row>
    <row r="28" spans="2:7">
      <c r="B28" t="s">
        <v>27</v>
      </c>
      <c r="C28" t="s">
        <v>31</v>
      </c>
      <c r="D28" t="s">
        <v>43</v>
      </c>
      <c r="E28" t="s">
        <v>104</v>
      </c>
      <c r="F28" s="1">
        <v>429</v>
      </c>
      <c r="G28" s="2"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8"/>
  <sheetViews>
    <sheetView workbookViewId="0">
      <selection activeCell="D13" sqref="D13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28</v>
      </c>
      <c r="C3" t="s">
        <v>32</v>
      </c>
      <c r="D3" t="s">
        <v>42</v>
      </c>
      <c r="E3" t="s">
        <v>54</v>
      </c>
      <c r="F3" s="1">
        <v>9990</v>
      </c>
      <c r="G3" s="2"/>
    </row>
    <row r="4" spans="2:7">
      <c r="B4" t="s">
        <v>28</v>
      </c>
      <c r="C4" t="s">
        <v>32</v>
      </c>
      <c r="D4" t="s">
        <v>42</v>
      </c>
      <c r="E4" t="s">
        <v>55</v>
      </c>
      <c r="F4" s="1">
        <v>3990</v>
      </c>
      <c r="G4" s="2"/>
    </row>
    <row r="5" spans="2:7">
      <c r="B5" t="s">
        <v>28</v>
      </c>
      <c r="C5" t="s">
        <v>32</v>
      </c>
      <c r="D5" t="s">
        <v>42</v>
      </c>
      <c r="E5" t="s">
        <v>55</v>
      </c>
      <c r="F5" s="1">
        <v>3990</v>
      </c>
      <c r="G5" s="2">
        <v>5</v>
      </c>
    </row>
    <row r="6" spans="2:7">
      <c r="B6" t="s">
        <v>28</v>
      </c>
      <c r="C6" t="s">
        <v>32</v>
      </c>
      <c r="D6" t="s">
        <v>42</v>
      </c>
      <c r="E6" t="s">
        <v>56</v>
      </c>
      <c r="F6" s="1">
        <v>3990</v>
      </c>
      <c r="G6" s="2"/>
    </row>
    <row r="7" spans="2:7">
      <c r="B7" t="s">
        <v>28</v>
      </c>
      <c r="C7" t="s">
        <v>32</v>
      </c>
      <c r="D7" t="s">
        <v>43</v>
      </c>
      <c r="E7" t="s">
        <v>57</v>
      </c>
      <c r="F7" s="1">
        <v>6500</v>
      </c>
      <c r="G7" s="2">
        <v>4.9000000000000004</v>
      </c>
    </row>
    <row r="8" spans="2:7">
      <c r="B8" t="s">
        <v>28</v>
      </c>
      <c r="C8" t="s">
        <v>32</v>
      </c>
      <c r="D8" t="s">
        <v>43</v>
      </c>
      <c r="E8" t="s">
        <v>55</v>
      </c>
      <c r="F8" s="1">
        <v>3690</v>
      </c>
      <c r="G8" s="2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5"/>
  <sheetViews>
    <sheetView workbookViewId="0">
      <selection activeCell="E17" sqref="E17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26</v>
      </c>
      <c r="C3" t="s">
        <v>34</v>
      </c>
      <c r="D3" t="s">
        <v>42</v>
      </c>
      <c r="E3" t="s">
        <v>50</v>
      </c>
      <c r="F3" s="1">
        <v>15900</v>
      </c>
      <c r="G3" s="2">
        <v>5</v>
      </c>
    </row>
    <row r="4" spans="2:7">
      <c r="B4" t="s">
        <v>26</v>
      </c>
      <c r="C4" t="s">
        <v>34</v>
      </c>
      <c r="D4" t="s">
        <v>43</v>
      </c>
      <c r="E4" t="s">
        <v>51</v>
      </c>
      <c r="F4" s="1">
        <v>18130</v>
      </c>
      <c r="G4" s="2">
        <v>4.8</v>
      </c>
    </row>
    <row r="5" spans="2:7">
      <c r="B5" t="s">
        <v>26</v>
      </c>
      <c r="C5" t="s">
        <v>34</v>
      </c>
      <c r="D5" t="s">
        <v>43</v>
      </c>
      <c r="E5" t="s">
        <v>52</v>
      </c>
      <c r="F5" s="1">
        <v>27200</v>
      </c>
      <c r="G5" s="2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40"/>
  <sheetViews>
    <sheetView workbookViewId="0">
      <selection activeCell="I12" sqref="I12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27</v>
      </c>
      <c r="C3" t="s">
        <v>35</v>
      </c>
      <c r="D3" t="s">
        <v>42</v>
      </c>
      <c r="E3" t="s">
        <v>121</v>
      </c>
      <c r="F3" s="1">
        <v>9999</v>
      </c>
      <c r="G3" s="2">
        <v>5</v>
      </c>
    </row>
    <row r="4" spans="2:7">
      <c r="B4" t="s">
        <v>27</v>
      </c>
      <c r="C4" t="s">
        <v>35</v>
      </c>
      <c r="D4" t="s">
        <v>42</v>
      </c>
      <c r="E4" t="s">
        <v>114</v>
      </c>
      <c r="F4" s="1">
        <v>15619</v>
      </c>
      <c r="G4" s="2"/>
    </row>
    <row r="5" spans="2:7">
      <c r="B5" t="s">
        <v>27</v>
      </c>
      <c r="C5" t="s">
        <v>35</v>
      </c>
      <c r="D5" t="s">
        <v>42</v>
      </c>
      <c r="E5" t="s">
        <v>134</v>
      </c>
      <c r="F5" s="1">
        <v>5990</v>
      </c>
      <c r="G5" s="2">
        <v>5</v>
      </c>
    </row>
    <row r="6" spans="2:7">
      <c r="B6" t="s">
        <v>27</v>
      </c>
      <c r="C6" t="s">
        <v>35</v>
      </c>
      <c r="D6" t="s">
        <v>42</v>
      </c>
      <c r="E6" t="s">
        <v>122</v>
      </c>
      <c r="F6" s="1">
        <v>7790</v>
      </c>
      <c r="G6" s="2"/>
    </row>
    <row r="7" spans="2:7">
      <c r="B7" t="s">
        <v>27</v>
      </c>
      <c r="C7" t="s">
        <v>35</v>
      </c>
      <c r="D7" t="s">
        <v>42</v>
      </c>
      <c r="E7" t="s">
        <v>118</v>
      </c>
      <c r="F7" s="1">
        <v>10990</v>
      </c>
      <c r="G7" s="2">
        <v>5</v>
      </c>
    </row>
    <row r="8" spans="2:7">
      <c r="B8" t="s">
        <v>27</v>
      </c>
      <c r="C8" t="s">
        <v>35</v>
      </c>
      <c r="D8" t="s">
        <v>42</v>
      </c>
      <c r="E8" t="s">
        <v>124</v>
      </c>
      <c r="F8" s="1">
        <v>11900</v>
      </c>
      <c r="G8" s="2">
        <v>5</v>
      </c>
    </row>
    <row r="9" spans="2:7">
      <c r="B9" t="s">
        <v>27</v>
      </c>
      <c r="C9" t="s">
        <v>35</v>
      </c>
      <c r="D9" t="s">
        <v>42</v>
      </c>
      <c r="E9" t="s">
        <v>132</v>
      </c>
      <c r="F9" s="1">
        <v>5500</v>
      </c>
      <c r="G9" s="2">
        <v>4.7</v>
      </c>
    </row>
    <row r="10" spans="2:7">
      <c r="B10" t="s">
        <v>27</v>
      </c>
      <c r="C10" t="s">
        <v>35</v>
      </c>
      <c r="D10" t="s">
        <v>42</v>
      </c>
      <c r="E10" t="s">
        <v>126</v>
      </c>
      <c r="F10" s="1">
        <v>13090</v>
      </c>
      <c r="G10" s="2"/>
    </row>
    <row r="11" spans="2:7">
      <c r="B11" t="s">
        <v>27</v>
      </c>
      <c r="C11" t="s">
        <v>35</v>
      </c>
      <c r="D11" t="s">
        <v>42</v>
      </c>
      <c r="E11" t="s">
        <v>125</v>
      </c>
      <c r="F11" s="1">
        <v>13090</v>
      </c>
      <c r="G11" s="2"/>
    </row>
    <row r="12" spans="2:7">
      <c r="B12" t="s">
        <v>27</v>
      </c>
      <c r="C12" t="s">
        <v>35</v>
      </c>
      <c r="D12" t="s">
        <v>42</v>
      </c>
      <c r="E12" t="s">
        <v>131</v>
      </c>
      <c r="F12" s="1">
        <v>8130</v>
      </c>
      <c r="G12" s="2">
        <v>5</v>
      </c>
    </row>
    <row r="13" spans="2:7">
      <c r="B13" t="s">
        <v>27</v>
      </c>
      <c r="C13" t="s">
        <v>35</v>
      </c>
      <c r="D13" t="s">
        <v>42</v>
      </c>
      <c r="E13" t="s">
        <v>131</v>
      </c>
      <c r="F13" s="1">
        <v>6849</v>
      </c>
      <c r="G13" s="2">
        <v>5</v>
      </c>
    </row>
    <row r="14" spans="2:7">
      <c r="B14" t="s">
        <v>27</v>
      </c>
      <c r="C14" t="s">
        <v>35</v>
      </c>
      <c r="D14" t="s">
        <v>42</v>
      </c>
      <c r="E14" t="s">
        <v>128</v>
      </c>
      <c r="F14" s="1">
        <v>5133</v>
      </c>
      <c r="G14" s="2"/>
    </row>
    <row r="15" spans="2:7">
      <c r="B15" t="s">
        <v>27</v>
      </c>
      <c r="C15" t="s">
        <v>35</v>
      </c>
      <c r="D15" t="s">
        <v>42</v>
      </c>
      <c r="E15" t="s">
        <v>129</v>
      </c>
      <c r="F15" s="1">
        <v>6900</v>
      </c>
      <c r="G15" s="2">
        <v>1</v>
      </c>
    </row>
    <row r="16" spans="2:7">
      <c r="B16" t="s">
        <v>27</v>
      </c>
      <c r="C16" t="s">
        <v>35</v>
      </c>
      <c r="D16" t="s">
        <v>42</v>
      </c>
      <c r="E16" t="s">
        <v>119</v>
      </c>
      <c r="F16" s="1">
        <v>10000</v>
      </c>
      <c r="G16" s="2"/>
    </row>
    <row r="17" spans="2:7">
      <c r="B17" t="s">
        <v>27</v>
      </c>
      <c r="C17" t="s">
        <v>35</v>
      </c>
      <c r="D17" t="s">
        <v>42</v>
      </c>
      <c r="E17" t="s">
        <v>127</v>
      </c>
      <c r="F17" s="1">
        <v>5820</v>
      </c>
      <c r="G17" s="2"/>
    </row>
    <row r="18" spans="2:7">
      <c r="B18" t="s">
        <v>27</v>
      </c>
      <c r="C18" t="s">
        <v>35</v>
      </c>
      <c r="D18" t="s">
        <v>42</v>
      </c>
      <c r="E18" t="s">
        <v>130</v>
      </c>
      <c r="F18" s="1">
        <v>5120</v>
      </c>
      <c r="G18" s="2"/>
    </row>
    <row r="19" spans="2:7">
      <c r="B19" t="s">
        <v>27</v>
      </c>
      <c r="C19" t="s">
        <v>35</v>
      </c>
      <c r="D19" t="s">
        <v>42</v>
      </c>
      <c r="E19" t="s">
        <v>123</v>
      </c>
      <c r="F19" s="1">
        <v>12119</v>
      </c>
      <c r="G19" s="2"/>
    </row>
    <row r="20" spans="2:7">
      <c r="B20" t="s">
        <v>27</v>
      </c>
      <c r="C20" t="s">
        <v>35</v>
      </c>
      <c r="D20" t="s">
        <v>42</v>
      </c>
      <c r="E20" t="s">
        <v>116</v>
      </c>
      <c r="F20" s="1">
        <v>11819</v>
      </c>
      <c r="G20" s="2"/>
    </row>
    <row r="21" spans="2:7">
      <c r="B21" t="s">
        <v>27</v>
      </c>
      <c r="C21" t="s">
        <v>35</v>
      </c>
      <c r="D21" t="s">
        <v>42</v>
      </c>
      <c r="E21" t="s">
        <v>115</v>
      </c>
      <c r="F21" s="1">
        <v>11900</v>
      </c>
      <c r="G21" s="2"/>
    </row>
    <row r="22" spans="2:7">
      <c r="B22" t="s">
        <v>27</v>
      </c>
      <c r="C22" t="s">
        <v>35</v>
      </c>
      <c r="D22" t="s">
        <v>42</v>
      </c>
      <c r="E22" t="s">
        <v>135</v>
      </c>
      <c r="F22" s="1">
        <v>12495</v>
      </c>
      <c r="G22" s="2">
        <v>5</v>
      </c>
    </row>
    <row r="23" spans="2:7">
      <c r="B23" t="s">
        <v>27</v>
      </c>
      <c r="C23" t="s">
        <v>35</v>
      </c>
      <c r="D23" t="s">
        <v>42</v>
      </c>
      <c r="E23" t="s">
        <v>117</v>
      </c>
      <c r="F23" s="1">
        <v>13900</v>
      </c>
      <c r="G23" s="2"/>
    </row>
    <row r="24" spans="2:7">
      <c r="B24" t="s">
        <v>27</v>
      </c>
      <c r="C24" t="s">
        <v>35</v>
      </c>
      <c r="D24" t="s">
        <v>42</v>
      </c>
      <c r="E24" t="s">
        <v>120</v>
      </c>
      <c r="F24" s="1">
        <v>12693</v>
      </c>
      <c r="G24" s="2">
        <v>5</v>
      </c>
    </row>
    <row r="25" spans="2:7">
      <c r="B25" t="s">
        <v>27</v>
      </c>
      <c r="C25" t="s">
        <v>35</v>
      </c>
      <c r="D25" t="s">
        <v>42</v>
      </c>
      <c r="E25" t="s">
        <v>133</v>
      </c>
      <c r="F25" s="1">
        <v>6417.87</v>
      </c>
      <c r="G25" s="2"/>
    </row>
    <row r="26" spans="2:7">
      <c r="B26" t="s">
        <v>27</v>
      </c>
      <c r="C26" t="s">
        <v>35</v>
      </c>
      <c r="D26" t="s">
        <v>43</v>
      </c>
      <c r="E26" t="s">
        <v>121</v>
      </c>
      <c r="F26" s="1">
        <v>9999</v>
      </c>
      <c r="G26" s="2">
        <v>5</v>
      </c>
    </row>
    <row r="27" spans="2:7">
      <c r="B27" t="s">
        <v>27</v>
      </c>
      <c r="C27" t="s">
        <v>35</v>
      </c>
      <c r="D27" t="s">
        <v>43</v>
      </c>
      <c r="E27" t="s">
        <v>137</v>
      </c>
      <c r="F27" s="1">
        <v>6980</v>
      </c>
      <c r="G27" s="2">
        <v>5</v>
      </c>
    </row>
    <row r="28" spans="2:7">
      <c r="B28" t="s">
        <v>27</v>
      </c>
      <c r="C28" t="s">
        <v>35</v>
      </c>
      <c r="D28" t="s">
        <v>43</v>
      </c>
      <c r="E28" t="s">
        <v>142</v>
      </c>
      <c r="F28" s="1">
        <v>15927</v>
      </c>
      <c r="G28" s="2"/>
    </row>
    <row r="29" spans="2:7">
      <c r="B29" t="s">
        <v>27</v>
      </c>
      <c r="C29" t="s">
        <v>35</v>
      </c>
      <c r="D29" t="s">
        <v>43</v>
      </c>
      <c r="E29" t="s">
        <v>143</v>
      </c>
      <c r="F29" s="1">
        <v>16009</v>
      </c>
      <c r="G29" s="2">
        <v>4.9000000000000004</v>
      </c>
    </row>
    <row r="30" spans="2:7">
      <c r="B30" t="s">
        <v>27</v>
      </c>
      <c r="C30" t="s">
        <v>35</v>
      </c>
      <c r="D30" t="s">
        <v>43</v>
      </c>
      <c r="E30" t="s">
        <v>114</v>
      </c>
      <c r="F30" s="1">
        <v>15459</v>
      </c>
      <c r="G30" s="2">
        <v>5</v>
      </c>
    </row>
    <row r="31" spans="2:7">
      <c r="B31" t="s">
        <v>27</v>
      </c>
      <c r="C31" t="s">
        <v>35</v>
      </c>
      <c r="D31" t="s">
        <v>43</v>
      </c>
      <c r="E31" t="s">
        <v>140</v>
      </c>
      <c r="F31" s="1">
        <v>16703</v>
      </c>
      <c r="G31" s="2">
        <v>5</v>
      </c>
    </row>
    <row r="32" spans="2:7">
      <c r="B32" t="s">
        <v>27</v>
      </c>
      <c r="C32" t="s">
        <v>35</v>
      </c>
      <c r="D32" t="s">
        <v>43</v>
      </c>
      <c r="E32" t="s">
        <v>145</v>
      </c>
      <c r="F32" s="1">
        <v>10747</v>
      </c>
      <c r="G32" s="2">
        <v>5</v>
      </c>
    </row>
    <row r="33" spans="2:7">
      <c r="B33" t="s">
        <v>27</v>
      </c>
      <c r="C33" t="s">
        <v>35</v>
      </c>
      <c r="D33" t="s">
        <v>43</v>
      </c>
      <c r="E33" t="s">
        <v>139</v>
      </c>
      <c r="F33" s="1">
        <v>8690</v>
      </c>
      <c r="G33" s="2">
        <v>4.9000000000000004</v>
      </c>
    </row>
    <row r="34" spans="2:7">
      <c r="B34" t="s">
        <v>27</v>
      </c>
      <c r="C34" t="s">
        <v>35</v>
      </c>
      <c r="D34" t="s">
        <v>43</v>
      </c>
      <c r="E34" t="s">
        <v>138</v>
      </c>
      <c r="F34" s="1">
        <v>8490</v>
      </c>
      <c r="G34" s="2">
        <v>5</v>
      </c>
    </row>
    <row r="35" spans="2:7">
      <c r="B35" t="s">
        <v>27</v>
      </c>
      <c r="C35" t="s">
        <v>35</v>
      </c>
      <c r="D35" t="s">
        <v>43</v>
      </c>
      <c r="E35" t="s">
        <v>122</v>
      </c>
      <c r="F35" s="1">
        <v>7790</v>
      </c>
      <c r="G35" s="2">
        <v>5</v>
      </c>
    </row>
    <row r="36" spans="2:7">
      <c r="B36" t="s">
        <v>27</v>
      </c>
      <c r="C36" t="s">
        <v>35</v>
      </c>
      <c r="D36" t="s">
        <v>43</v>
      </c>
      <c r="E36" t="s">
        <v>118</v>
      </c>
      <c r="F36" s="1">
        <v>10590</v>
      </c>
      <c r="G36" s="2">
        <v>5</v>
      </c>
    </row>
    <row r="37" spans="2:7">
      <c r="B37" t="s">
        <v>27</v>
      </c>
      <c r="C37" t="s">
        <v>35</v>
      </c>
      <c r="D37" t="s">
        <v>43</v>
      </c>
      <c r="E37" t="s">
        <v>124</v>
      </c>
      <c r="F37" s="1">
        <v>10900</v>
      </c>
      <c r="G37" s="2">
        <v>5</v>
      </c>
    </row>
    <row r="38" spans="2:7">
      <c r="B38" t="s">
        <v>27</v>
      </c>
      <c r="C38" t="s">
        <v>35</v>
      </c>
      <c r="D38" t="s">
        <v>43</v>
      </c>
      <c r="E38" t="s">
        <v>141</v>
      </c>
      <c r="F38" s="1">
        <v>12619</v>
      </c>
      <c r="G38" s="2">
        <v>5</v>
      </c>
    </row>
    <row r="39" spans="2:7">
      <c r="B39" t="s">
        <v>27</v>
      </c>
      <c r="C39" t="s">
        <v>35</v>
      </c>
      <c r="D39" t="s">
        <v>43</v>
      </c>
      <c r="E39" t="s">
        <v>136</v>
      </c>
      <c r="F39" s="1">
        <v>7900</v>
      </c>
      <c r="G39" s="2">
        <v>5</v>
      </c>
    </row>
    <row r="40" spans="2:7">
      <c r="B40" t="s">
        <v>27</v>
      </c>
      <c r="C40" t="s">
        <v>35</v>
      </c>
      <c r="D40" t="s">
        <v>43</v>
      </c>
      <c r="E40" t="s">
        <v>144</v>
      </c>
      <c r="F40" s="1">
        <v>9520</v>
      </c>
      <c r="G40" s="2">
        <v>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7"/>
  <sheetViews>
    <sheetView workbookViewId="0">
      <selection activeCell="E18" sqref="E18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28</v>
      </c>
      <c r="C3" t="s">
        <v>36</v>
      </c>
      <c r="D3" t="s">
        <v>42</v>
      </c>
      <c r="E3" t="s">
        <v>59</v>
      </c>
      <c r="F3" s="1">
        <v>4990</v>
      </c>
      <c r="G3" s="2">
        <v>5</v>
      </c>
    </row>
    <row r="4" spans="2:7">
      <c r="B4" t="s">
        <v>28</v>
      </c>
      <c r="C4" t="s">
        <v>36</v>
      </c>
      <c r="D4" t="s">
        <v>42</v>
      </c>
      <c r="E4" t="s">
        <v>58</v>
      </c>
      <c r="F4" s="1">
        <v>20980.7</v>
      </c>
      <c r="G4" s="2"/>
    </row>
    <row r="5" spans="2:7">
      <c r="B5" t="s">
        <v>28</v>
      </c>
      <c r="C5" t="s">
        <v>36</v>
      </c>
      <c r="D5" t="s">
        <v>43</v>
      </c>
      <c r="E5" t="s">
        <v>59</v>
      </c>
      <c r="F5" s="1">
        <v>4990</v>
      </c>
      <c r="G5" s="2">
        <v>4.9000000000000004</v>
      </c>
    </row>
    <row r="6" spans="2:7">
      <c r="B6" t="s">
        <v>28</v>
      </c>
      <c r="C6" t="s">
        <v>36</v>
      </c>
      <c r="D6" t="s">
        <v>43</v>
      </c>
      <c r="E6" t="s">
        <v>59</v>
      </c>
      <c r="F6" s="1">
        <v>4990</v>
      </c>
      <c r="G6" s="2">
        <v>5</v>
      </c>
    </row>
    <row r="7" spans="2:7">
      <c r="B7" t="s">
        <v>28</v>
      </c>
      <c r="C7" t="s">
        <v>36</v>
      </c>
      <c r="D7" t="s">
        <v>43</v>
      </c>
      <c r="E7" t="s">
        <v>60</v>
      </c>
      <c r="F7" s="1">
        <v>4080</v>
      </c>
      <c r="G7" s="2">
        <v>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2"/>
  <sheetViews>
    <sheetView workbookViewId="0">
      <selection activeCell="D13" sqref="D13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34"/>
  <sheetViews>
    <sheetView workbookViewId="0">
      <selection activeCell="I10" sqref="I10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27</v>
      </c>
      <c r="C3" t="s">
        <v>39</v>
      </c>
      <c r="D3" t="s">
        <v>42</v>
      </c>
      <c r="E3" t="s">
        <v>77</v>
      </c>
      <c r="F3" s="1">
        <v>13890</v>
      </c>
      <c r="G3" s="2"/>
    </row>
    <row r="4" spans="2:7">
      <c r="B4" t="s">
        <v>27</v>
      </c>
      <c r="C4" t="s">
        <v>39</v>
      </c>
      <c r="D4" t="s">
        <v>42</v>
      </c>
      <c r="E4" t="s">
        <v>77</v>
      </c>
      <c r="F4" s="1">
        <v>6800</v>
      </c>
      <c r="G4" s="2">
        <v>5</v>
      </c>
    </row>
    <row r="5" spans="2:7">
      <c r="B5" t="s">
        <v>27</v>
      </c>
      <c r="C5" t="s">
        <v>39</v>
      </c>
      <c r="D5" t="s">
        <v>42</v>
      </c>
      <c r="E5" t="s">
        <v>77</v>
      </c>
      <c r="F5" s="1">
        <v>6500</v>
      </c>
      <c r="G5" s="2">
        <v>3</v>
      </c>
    </row>
    <row r="6" spans="2:7">
      <c r="B6" t="s">
        <v>27</v>
      </c>
      <c r="C6" t="s">
        <v>39</v>
      </c>
      <c r="D6" t="s">
        <v>42</v>
      </c>
      <c r="E6" t="s">
        <v>75</v>
      </c>
      <c r="F6" s="1">
        <v>15990</v>
      </c>
      <c r="G6" s="2"/>
    </row>
    <row r="7" spans="2:7">
      <c r="B7" t="s">
        <v>27</v>
      </c>
      <c r="C7" t="s">
        <v>39</v>
      </c>
      <c r="D7" t="s">
        <v>42</v>
      </c>
      <c r="E7" t="s">
        <v>79</v>
      </c>
      <c r="F7" s="1">
        <v>26145</v>
      </c>
      <c r="G7" s="2">
        <v>4.5999999999999996</v>
      </c>
    </row>
    <row r="8" spans="2:7">
      <c r="B8" t="s">
        <v>27</v>
      </c>
      <c r="C8" t="s">
        <v>39</v>
      </c>
      <c r="D8" t="s">
        <v>42</v>
      </c>
      <c r="E8" t="s">
        <v>72</v>
      </c>
      <c r="F8" s="1">
        <v>23769</v>
      </c>
      <c r="G8" s="2"/>
    </row>
    <row r="9" spans="2:7">
      <c r="B9" t="s">
        <v>27</v>
      </c>
      <c r="C9" t="s">
        <v>39</v>
      </c>
      <c r="D9" t="s">
        <v>42</v>
      </c>
      <c r="E9" t="s">
        <v>70</v>
      </c>
      <c r="F9" s="1">
        <v>23350</v>
      </c>
      <c r="G9" s="2"/>
    </row>
    <row r="10" spans="2:7">
      <c r="B10" t="s">
        <v>27</v>
      </c>
      <c r="C10" t="s">
        <v>39</v>
      </c>
      <c r="D10" t="s">
        <v>42</v>
      </c>
      <c r="E10" t="s">
        <v>76</v>
      </c>
      <c r="F10" s="1">
        <v>12980</v>
      </c>
      <c r="G10" s="2">
        <v>5</v>
      </c>
    </row>
    <row r="11" spans="2:7">
      <c r="B11" t="s">
        <v>27</v>
      </c>
      <c r="C11" t="s">
        <v>39</v>
      </c>
      <c r="D11" t="s">
        <v>42</v>
      </c>
      <c r="E11" t="s">
        <v>73</v>
      </c>
      <c r="F11" s="1">
        <v>13980</v>
      </c>
      <c r="G11" s="2"/>
    </row>
    <row r="12" spans="2:7">
      <c r="B12" t="s">
        <v>27</v>
      </c>
      <c r="C12" t="s">
        <v>39</v>
      </c>
      <c r="D12" t="s">
        <v>42</v>
      </c>
      <c r="E12" t="s">
        <v>65</v>
      </c>
      <c r="F12" s="1">
        <v>28990</v>
      </c>
      <c r="G12" s="2"/>
    </row>
    <row r="13" spans="2:7">
      <c r="B13" t="s">
        <v>27</v>
      </c>
      <c r="C13" t="s">
        <v>39</v>
      </c>
      <c r="D13" t="s">
        <v>42</v>
      </c>
      <c r="E13" t="s">
        <v>69</v>
      </c>
      <c r="F13" s="1">
        <v>22410</v>
      </c>
      <c r="G13" s="2"/>
    </row>
    <row r="14" spans="2:7">
      <c r="B14" t="s">
        <v>27</v>
      </c>
      <c r="C14" t="s">
        <v>39</v>
      </c>
      <c r="D14" t="s">
        <v>42</v>
      </c>
      <c r="E14" t="s">
        <v>67</v>
      </c>
      <c r="F14" s="1">
        <v>29950</v>
      </c>
      <c r="G14" s="2"/>
    </row>
    <row r="15" spans="2:7">
      <c r="B15" t="s">
        <v>27</v>
      </c>
      <c r="C15" t="s">
        <v>39</v>
      </c>
      <c r="D15" t="s">
        <v>42</v>
      </c>
      <c r="E15" t="s">
        <v>66</v>
      </c>
      <c r="F15" s="1">
        <v>17990</v>
      </c>
      <c r="G15" s="2"/>
    </row>
    <row r="16" spans="2:7">
      <c r="B16" t="s">
        <v>27</v>
      </c>
      <c r="C16" t="s">
        <v>39</v>
      </c>
      <c r="D16" t="s">
        <v>42</v>
      </c>
      <c r="E16" t="s">
        <v>74</v>
      </c>
      <c r="F16" s="1">
        <v>14290</v>
      </c>
      <c r="G16" s="2"/>
    </row>
    <row r="17" spans="2:7">
      <c r="B17" t="s">
        <v>27</v>
      </c>
      <c r="C17" t="s">
        <v>39</v>
      </c>
      <c r="D17" t="s">
        <v>42</v>
      </c>
      <c r="E17" t="s">
        <v>74</v>
      </c>
      <c r="F17" s="1">
        <v>14290</v>
      </c>
      <c r="G17" s="2">
        <v>5</v>
      </c>
    </row>
    <row r="18" spans="2:7">
      <c r="B18" t="s">
        <v>27</v>
      </c>
      <c r="C18" t="s">
        <v>39</v>
      </c>
      <c r="D18" t="s">
        <v>42</v>
      </c>
      <c r="E18" t="s">
        <v>68</v>
      </c>
      <c r="F18" s="1">
        <v>23390</v>
      </c>
      <c r="G18" s="2"/>
    </row>
    <row r="19" spans="2:7">
      <c r="B19" t="s">
        <v>27</v>
      </c>
      <c r="C19" t="s">
        <v>39</v>
      </c>
      <c r="D19" t="s">
        <v>42</v>
      </c>
      <c r="E19" t="s">
        <v>78</v>
      </c>
      <c r="F19" s="1">
        <v>18790</v>
      </c>
      <c r="G19" s="2">
        <v>4.9000000000000004</v>
      </c>
    </row>
    <row r="20" spans="2:7">
      <c r="B20" t="s">
        <v>27</v>
      </c>
      <c r="C20" t="s">
        <v>39</v>
      </c>
      <c r="D20" t="s">
        <v>42</v>
      </c>
      <c r="E20" t="s">
        <v>78</v>
      </c>
      <c r="F20" s="1">
        <v>13790</v>
      </c>
      <c r="G20" s="2">
        <v>5</v>
      </c>
    </row>
    <row r="21" spans="2:7">
      <c r="B21" t="s">
        <v>27</v>
      </c>
      <c r="C21" t="s">
        <v>39</v>
      </c>
      <c r="D21" t="s">
        <v>42</v>
      </c>
      <c r="E21" t="s">
        <v>71</v>
      </c>
      <c r="F21" s="1">
        <v>23350</v>
      </c>
      <c r="G21" s="2"/>
    </row>
    <row r="22" spans="2:7">
      <c r="B22" t="s">
        <v>27</v>
      </c>
      <c r="C22" t="s">
        <v>39</v>
      </c>
      <c r="D22" t="s">
        <v>43</v>
      </c>
      <c r="E22" t="s">
        <v>87</v>
      </c>
      <c r="F22" s="1">
        <v>13900</v>
      </c>
      <c r="G22" s="2">
        <v>4.9000000000000004</v>
      </c>
    </row>
    <row r="23" spans="2:7">
      <c r="B23" t="s">
        <v>27</v>
      </c>
      <c r="C23" t="s">
        <v>39</v>
      </c>
      <c r="D23" t="s">
        <v>43</v>
      </c>
      <c r="E23" t="s">
        <v>83</v>
      </c>
      <c r="F23" s="1">
        <v>16999</v>
      </c>
      <c r="G23" s="2">
        <v>5</v>
      </c>
    </row>
    <row r="24" spans="2:7">
      <c r="B24" t="s">
        <v>27</v>
      </c>
      <c r="C24" t="s">
        <v>39</v>
      </c>
      <c r="D24" t="s">
        <v>43</v>
      </c>
      <c r="E24" t="s">
        <v>89</v>
      </c>
      <c r="F24" s="1">
        <v>32790</v>
      </c>
      <c r="G24" s="2">
        <v>4.9000000000000004</v>
      </c>
    </row>
    <row r="25" spans="2:7">
      <c r="B25" t="s">
        <v>27</v>
      </c>
      <c r="C25" t="s">
        <v>39</v>
      </c>
      <c r="D25" t="s">
        <v>43</v>
      </c>
      <c r="E25" t="s">
        <v>81</v>
      </c>
      <c r="F25" s="1">
        <v>17880</v>
      </c>
      <c r="G25" s="2">
        <v>4.9000000000000004</v>
      </c>
    </row>
    <row r="26" spans="2:7">
      <c r="B26" t="s">
        <v>27</v>
      </c>
      <c r="C26" t="s">
        <v>39</v>
      </c>
      <c r="D26" t="s">
        <v>43</v>
      </c>
      <c r="E26" t="s">
        <v>80</v>
      </c>
      <c r="F26" s="1">
        <v>14405</v>
      </c>
      <c r="G26" s="2">
        <v>5</v>
      </c>
    </row>
    <row r="27" spans="2:7">
      <c r="B27" t="s">
        <v>27</v>
      </c>
      <c r="C27" t="s">
        <v>39</v>
      </c>
      <c r="D27" t="s">
        <v>43</v>
      </c>
      <c r="E27" t="s">
        <v>84</v>
      </c>
      <c r="F27" s="1">
        <v>26399</v>
      </c>
      <c r="G27" s="2">
        <v>5</v>
      </c>
    </row>
    <row r="28" spans="2:7">
      <c r="B28" t="s">
        <v>27</v>
      </c>
      <c r="C28" t="s">
        <v>39</v>
      </c>
      <c r="D28" t="s">
        <v>43</v>
      </c>
      <c r="E28" t="s">
        <v>85</v>
      </c>
      <c r="F28" s="1">
        <v>19920</v>
      </c>
      <c r="G28" s="2">
        <v>5</v>
      </c>
    </row>
    <row r="29" spans="2:7">
      <c r="B29" t="s">
        <v>27</v>
      </c>
      <c r="C29" t="s">
        <v>39</v>
      </c>
      <c r="D29" t="s">
        <v>43</v>
      </c>
      <c r="E29" t="s">
        <v>82</v>
      </c>
      <c r="F29" s="1">
        <v>19175</v>
      </c>
      <c r="G29" s="2">
        <v>5</v>
      </c>
    </row>
    <row r="30" spans="2:7">
      <c r="B30" t="s">
        <v>27</v>
      </c>
      <c r="C30" t="s">
        <v>39</v>
      </c>
      <c r="D30" t="s">
        <v>43</v>
      </c>
      <c r="E30" t="s">
        <v>90</v>
      </c>
      <c r="F30" s="1">
        <v>34055</v>
      </c>
      <c r="G30" s="2">
        <v>4.9000000000000004</v>
      </c>
    </row>
    <row r="31" spans="2:7">
      <c r="B31" t="s">
        <v>27</v>
      </c>
      <c r="C31" t="s">
        <v>39</v>
      </c>
      <c r="D31" t="s">
        <v>43</v>
      </c>
      <c r="E31" t="s">
        <v>66</v>
      </c>
      <c r="F31" s="1">
        <v>17490</v>
      </c>
      <c r="G31" s="2">
        <v>5</v>
      </c>
    </row>
    <row r="32" spans="2:7">
      <c r="B32" t="s">
        <v>27</v>
      </c>
      <c r="C32" t="s">
        <v>39</v>
      </c>
      <c r="D32" t="s">
        <v>43</v>
      </c>
      <c r="E32" t="s">
        <v>74</v>
      </c>
      <c r="F32" s="1">
        <v>14290</v>
      </c>
      <c r="G32" s="2">
        <v>5</v>
      </c>
    </row>
    <row r="33" spans="2:7">
      <c r="B33" t="s">
        <v>27</v>
      </c>
      <c r="C33" t="s">
        <v>39</v>
      </c>
      <c r="D33" t="s">
        <v>43</v>
      </c>
      <c r="E33" t="s">
        <v>88</v>
      </c>
      <c r="F33" s="1">
        <v>12990</v>
      </c>
      <c r="G33" s="2">
        <v>5</v>
      </c>
    </row>
    <row r="34" spans="2:7">
      <c r="B34" t="s">
        <v>27</v>
      </c>
      <c r="C34" t="s">
        <v>39</v>
      </c>
      <c r="D34" t="s">
        <v>43</v>
      </c>
      <c r="E34" t="s">
        <v>86</v>
      </c>
      <c r="F34" s="1">
        <v>17067</v>
      </c>
      <c r="G34" s="2">
        <v>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G6"/>
  <sheetViews>
    <sheetView workbookViewId="0">
      <selection activeCell="D14" sqref="D14"/>
    </sheetView>
  </sheetViews>
  <sheetFormatPr defaultRowHeight="13.8"/>
  <cols>
    <col min="2" max="2" width="12" customWidth="1"/>
    <col min="3" max="3" width="24" customWidth="1"/>
    <col min="4" max="4" width="12" customWidth="1"/>
    <col min="5" max="5" width="45" customWidth="1"/>
    <col min="6" max="7" width="12" customWidth="1"/>
  </cols>
  <sheetData>
    <row r="2" spans="2:7"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2:7">
      <c r="B3" t="s">
        <v>28</v>
      </c>
      <c r="C3" t="s">
        <v>40</v>
      </c>
      <c r="D3" t="s">
        <v>42</v>
      </c>
      <c r="E3" t="s">
        <v>62</v>
      </c>
      <c r="F3" s="1">
        <v>14900</v>
      </c>
      <c r="G3" s="2"/>
    </row>
    <row r="4" spans="2:7">
      <c r="B4" t="s">
        <v>28</v>
      </c>
      <c r="C4" t="s">
        <v>40</v>
      </c>
      <c r="D4" t="s">
        <v>42</v>
      </c>
      <c r="E4" t="s">
        <v>61</v>
      </c>
      <c r="F4" s="1">
        <v>23900</v>
      </c>
      <c r="G4" s="2"/>
    </row>
    <row r="5" spans="2:7">
      <c r="B5" t="s">
        <v>28</v>
      </c>
      <c r="C5" t="s">
        <v>40</v>
      </c>
      <c r="D5" t="s">
        <v>43</v>
      </c>
      <c r="E5" t="s">
        <v>63</v>
      </c>
      <c r="F5" s="1">
        <v>19900</v>
      </c>
      <c r="G5" s="2">
        <v>4.9000000000000004</v>
      </c>
    </row>
    <row r="6" spans="2:7">
      <c r="B6" t="s">
        <v>28</v>
      </c>
      <c r="C6" t="s">
        <v>40</v>
      </c>
      <c r="D6" t="s">
        <v>43</v>
      </c>
      <c r="E6" t="s">
        <v>64</v>
      </c>
      <c r="F6" s="1">
        <v>19900</v>
      </c>
      <c r="G6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Statistics</vt:lpstr>
      <vt:lpstr>All_Data</vt:lpstr>
      <vt:lpstr>Apple</vt:lpstr>
      <vt:lpstr>Samsung</vt:lpstr>
      <vt:lpstr>Huawei</vt:lpstr>
      <vt:lpstr>Apple_S9</vt:lpstr>
      <vt:lpstr>Galaxy_Watch7</vt:lpstr>
      <vt:lpstr>Huawei_GT4</vt:lpstr>
      <vt:lpstr>Apple_S10</vt:lpstr>
      <vt:lpstr>Galaxy_Watch8</vt:lpstr>
      <vt:lpstr>Huawei_GT5</vt:lpstr>
      <vt:lpstr>Apple_Ultra2</vt:lpstr>
      <vt:lpstr>Galaxy_Ultra</vt:lpstr>
      <vt:lpstr>Huawei_Ultimate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shogon 123</cp:lastModifiedBy>
  <dcterms:modified xsi:type="dcterms:W3CDTF">2026-10-04T13:05:43Z</dcterms:modified>
</cp:coreProperties>
</file>